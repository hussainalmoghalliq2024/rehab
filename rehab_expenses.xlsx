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352A18F-870C-481D-91FB-CE4B4EDD54F9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المرهون'!$A$5:$H$34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9" l="1"/>
  <c r="G31" i="9"/>
  <c r="G32" i="9"/>
  <c r="J48" i="9"/>
  <c r="G28" i="9"/>
  <c r="G33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43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4" i="9"/>
  <c r="L37" i="9"/>
  <c r="G21" i="10"/>
  <c r="K28" i="10"/>
  <c r="L22" i="10"/>
  <c r="I5" i="7"/>
  <c r="H144" i="7"/>
  <c r="E10" i="3"/>
  <c r="H142" i="7"/>
  <c r="G36" i="9"/>
  <c r="G38" i="9"/>
</calcChain>
</file>

<file path=xl/sharedStrings.xml><?xml version="1.0" encoding="utf-8"?>
<sst xmlns="http://schemas.openxmlformats.org/spreadsheetml/2006/main" count="1437" uniqueCount="290">
  <si>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</si>
  <si>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</si>
  <si>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</si>
  <si>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</si>
  <si>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</si>
  <si>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</si>
  <si>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</si>
  <si>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</si>
  <si>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</si>
  <si>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</si>
  <si>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</si>
  <si>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</si>
  <si>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</si>
  <si>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</si>
  <si>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</si>
  <si>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</si>
  <si>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</si>
  <si>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</si>
  <si>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</si>
  <si>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</si>
  <si>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</si>
  <si>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</si>
  <si>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</si>
  <si>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</si>
  <si>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</si>
  <si>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</si>
  <si>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</si>
  <si>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</si>
  <si>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</si>
  <si>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</si>
  <si>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</si>
  <si>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</si>
  <si>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</si>
  <si>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</si>
  <si>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</si>
  <si>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</si>
  <si>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</si>
  <si>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</si>
  <si>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</si>
  <si>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</si>
  <si>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</si>
  <si>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</si>
  <si>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</si>
  <si>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</si>
  <si>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</si>
  <si>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</si>
  <si>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</si>
  <si>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</si>
  <si>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</si>
  <si>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</si>
  <si>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</si>
  <si>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</si>
  <si>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</si>
  <si>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</si>
  <si>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</si>
  <si>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</si>
  <si>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</si>
  <si>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</si>
  <si>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</si>
  <si>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</si>
  <si>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</si>
  <si>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</si>
  <si>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</si>
  <si>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</si>
  <si>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</si>
  <si>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</si>
  <si>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</si>
  <si>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</si>
  <si>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</si>
  <si>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</si>
  <si>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</si>
  <si>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</si>
  <si>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</si>
  <si>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</si>
  <si>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</si>
  <si>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</si>
  <si>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</si>
  <si>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</si>
  <si>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</si>
  <si>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</si>
  <si>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</si>
  <si>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</si>
  <si>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</si>
  <si>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</si>
  <si>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</si>
  <si>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</si>
  <si>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</si>
  <si>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</si>
  <si>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</si>
  <si>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</si>
  <si>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</si>
  <si>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</si>
  <si>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</si>
  <si>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</si>
  <si>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</si>
  <si>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</si>
  <si>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</si>
  <si>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</si>
  <si>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</si>
  <si>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</si>
  <si>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</si>
  <si>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</si>
  <si>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</si>
  <si>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</si>
  <si>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</si>
  <si>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</si>
  <si>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</si>
  <si>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</si>
  <si>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</si>
  <si>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</si>
  <si>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</si>
  <si>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</si>
  <si>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</si>
  <si>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</si>
  <si>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</si>
  <si>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</si>
  <si>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</si>
  <si>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</si>
  <si>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</si>
  <si>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</si>
  <si>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</si>
  <si>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</si>
  <si>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</si>
  <si>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</si>
  <si>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</si>
  <si>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</si>
  <si>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</si>
  <si>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</si>
  <si>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</si>
  <si>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</si>
  <si>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</si>
  <si>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</si>
  <si>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</si>
  <si>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</si>
  <si>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</si>
  <si>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</si>
  <si>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</si>
  <si>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</si>
  <si>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</si>
  <si>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</si>
  <si>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</si>
  <si>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</si>
  <si>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</si>
  <si>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</si>
  <si>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</si>
  <si>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</si>
  <si>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</si>
  <si>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</si>
  <si>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</si>
  <si>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</si>
  <si>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</si>
  <si>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</si>
  <si>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</si>
  <si>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</si>
  <si>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</si>
  <si>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</si>
  <si>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</si>
  <si>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</si>
  <si>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</si>
  <si>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</si>
  <si>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</si>
  <si>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</si>
  <si>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</si>
  <si>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</si>
  <si>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</si>
  <si>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</si>
  <si>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</si>
  <si>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</si>
  <si>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</si>
  <si>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</si>
  <si>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</si>
  <si>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</si>
  <si>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</si>
  <si>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</si>
  <si>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</si>
  <si>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</si>
  <si>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</si>
  <si>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</si>
  <si>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</si>
  <si>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</si>
  <si>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</si>
  <si>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</si>
  <si>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</si>
  <si>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</si>
  <si>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</si>
  <si>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</si>
  <si>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</si>
  <si>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</si>
  <si>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</si>
  <si>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</si>
  <si>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</si>
  <si>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</si>
  <si>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</si>
  <si>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</si>
  <si>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</si>
  <si>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</si>
  <si>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</si>
  <si>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</si>
  <si>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</si>
  <si>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</si>
  <si>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</si>
  <si>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</si>
  <si>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</si>
  <si>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</si>
  <si>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</si>
  <si>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</si>
  <si>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</si>
  <si>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</si>
  <si>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</si>
  <si>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</si>
  <si>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</si>
  <si>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</si>
  <si>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</si>
  <si>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</si>
  <si>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</si>
  <si>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</si>
  <si>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</si>
  <si>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</si>
  <si>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</si>
  <si>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</si>
  <si>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</si>
  <si>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</si>
  <si>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</si>
  <si>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</si>
  <si>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</si>
  <si>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</si>
  <si>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</si>
  <si>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</si>
  <si>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</si>
  <si>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</si>
  <si>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</si>
  <si>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</si>
  <si>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</si>
  <si>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</si>
  <si>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</si>
  <si>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</si>
  <si>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</si>
  <si>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</si>
  <si>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</si>
  <si>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</si>
  <si>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</si>
  <si>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</si>
  <si>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</si>
  <si>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</si>
  <si>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</si>
  <si>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</si>
  <si>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</si>
  <si>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</si>
  <si>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</si>
  <si>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</si>
  <si>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</si>
  <si>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</si>
  <si>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</si>
  <si>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</si>
  <si>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</si>
  <si>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</si>
  <si>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</si>
  <si>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</si>
  <si>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</si>
  <si>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</si>
  <si>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</si>
  <si>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</si>
  <si>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</si>
  <si>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</si>
  <si>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</si>
  <si>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</si>
  <si>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</si>
  <si>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</si>
  <si>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</si>
  <si>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</si>
  <si>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</si>
  <si>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</si>
  <si>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???</t>
  </si>
  <si>
    <t>تم الدفع
Ice Water</t>
  </si>
  <si>
    <t>اضافة رصيد
Ice Water</t>
  </si>
  <si>
    <t>Please add Amount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</si>
  <si>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</si>
  <si>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</si>
  <si>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</si>
  <si>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</si>
  <si>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</si>
  <si>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</si>
  <si>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</si>
  <si>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</si>
  <si>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</si>
  <si>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</si>
  <si>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</si>
  <si>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</si>
  <si>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</si>
  <si>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Test - Please 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</si>
</sst>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164" fontId="1" fillId="7" borderId="2" xfId="0" applyNumberFormat="1" applyFont="1" applyFill="1" applyBorder="1" applyAlignment="1">
      <alignment horizontal="center" vertical="center" readingOrder="2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39" fontId="1" fillId="7" borderId="1" xfId="1" applyNumberFormat="1" applyFont="1" applyFill="1" applyBorder="1"/>
    <xf numFmtId="0" fontId="1" fillId="7" borderId="3" xfId="0" applyFont="1" applyFill="1" applyBorder="1" applyAlignment="1">
      <alignment wrapText="1"/>
    </xf>
    <xf numFmtId="0" fontId="1" fillId="7" borderId="0" xfId="0" applyFont="1" applyFill="1"/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3" borderId="0" xfId="0" applyFont="1" applyFill="1"/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39" totalsRowShown="0" headerRowDxfId="65" dataDxfId="64">
  <autoFilter ref="A4:M139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4" totalsRowShown="0" headerRowDxfId="50" headerRowBorderDxfId="49" tableBorderDxfId="48" totalsRowBorderDxfId="47">
  <autoFilter ref="A5:I34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8"/>
  <sheetViews>
    <sheetView rightToLeft="1" tabSelected="1" topLeftCell="D108" zoomScale="115" zoomScaleNormal="115" workbookViewId="0">
      <selection activeCell="G114" sqref="G114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90" t="s">
        <v>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282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277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281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277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283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284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285</v>
      </c>
      <c r="C111" s="71" t="s">
        <v>286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287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288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x14ac:dyDescent="0.3">
      <c r="A113" s="69">
        <v>46188</v>
      </c>
      <c r="B113" s="70" t="s">
        <v>289</v>
      </c>
      <c r="C113" s="71" t="s">
        <v>43</v>
      </c>
      <c r="D113" s="71" t="s">
        <v>9</v>
      </c>
      <c r="E113" s="71" t="s">
        <v>82</v>
      </c>
      <c r="F113" s="71" t="s">
        <v>126</v>
      </c>
      <c r="G113" s="71" t="s">
        <v>126</v>
      </c>
      <c r="H113" s="71" t="s">
        <v>52</v>
      </c>
      <c r="I113" s="72">
        <v>1000000</v>
      </c>
      <c r="J113" s="71" t="s">
        <v>54</v>
      </c>
      <c r="K113" s="71" t="s">
        <v>237</v>
      </c>
      <c r="L113" s="71" t="s">
        <v>61</v>
      </c>
      <c r="M113" s="71" t="s">
        <v>10</v>
      </c>
    </row>
    <row r="114" spans="1:13" x14ac:dyDescent="0.3">
      <c r="A114" s="69"/>
      <c r="B114" s="70"/>
      <c r="C114" s="71"/>
      <c r="D114" s="71"/>
      <c r="E114" s="71"/>
      <c r="F114" s="71"/>
      <c r="G114" s="57"/>
      <c r="H114" s="71"/>
      <c r="I114" s="72"/>
      <c r="J114" s="71"/>
      <c r="K114" s="57"/>
      <c r="L114" s="71"/>
      <c r="M114" s="71"/>
    </row>
    <row r="115" spans="1:13" x14ac:dyDescent="0.3">
      <c r="A115" s="69"/>
      <c r="B115" s="70"/>
      <c r="C115" s="71"/>
      <c r="D115" s="71"/>
      <c r="E115" s="71"/>
      <c r="F115" s="71"/>
      <c r="G115" s="57"/>
      <c r="H115" s="71"/>
      <c r="I115" s="72"/>
      <c r="J115" s="71"/>
      <c r="K115" s="57"/>
      <c r="L115" s="71"/>
      <c r="M115" s="71"/>
    </row>
    <row r="116" spans="1:13" x14ac:dyDescent="0.3">
      <c r="A116" s="69"/>
      <c r="B116" s="70"/>
      <c r="C116" s="71"/>
      <c r="D116" s="71"/>
      <c r="E116" s="71"/>
      <c r="F116" s="71"/>
      <c r="G116" s="71"/>
      <c r="H116" s="71"/>
      <c r="I116" s="72"/>
      <c r="J116" s="71"/>
      <c r="K116" s="71"/>
      <c r="L116" s="71"/>
      <c r="M116" s="71"/>
    </row>
    <row r="117" spans="1:13" s="36" customFormat="1" x14ac:dyDescent="0.3">
      <c r="A117" s="28" t="s">
        <v>27</v>
      </c>
      <c r="B117" s="40" t="s">
        <v>146</v>
      </c>
      <c r="C117" s="29" t="s">
        <v>143</v>
      </c>
      <c r="D117" s="29" t="s">
        <v>27</v>
      </c>
      <c r="E117" s="29" t="s">
        <v>144</v>
      </c>
      <c r="F117" s="29" t="s">
        <v>144</v>
      </c>
      <c r="G117" s="29"/>
      <c r="H117" s="29" t="s">
        <v>93</v>
      </c>
      <c r="I117" s="30">
        <v>20700</v>
      </c>
      <c r="J117" s="29"/>
      <c r="K117" s="29" t="s">
        <v>237</v>
      </c>
      <c r="L117" s="29"/>
      <c r="M117" s="29"/>
    </row>
    <row r="118" spans="1:13" s="36" customFormat="1" x14ac:dyDescent="0.3">
      <c r="A118" s="28" t="s">
        <v>27</v>
      </c>
      <c r="B118" s="40" t="s">
        <v>147</v>
      </c>
      <c r="C118" s="29" t="s">
        <v>143</v>
      </c>
      <c r="D118" s="29" t="s">
        <v>27</v>
      </c>
      <c r="E118" s="29" t="s">
        <v>144</v>
      </c>
      <c r="F118" s="29" t="s">
        <v>144</v>
      </c>
      <c r="G118" s="29"/>
      <c r="H118" s="29" t="s">
        <v>93</v>
      </c>
      <c r="I118" s="30">
        <v>18000</v>
      </c>
      <c r="J118" s="29"/>
      <c r="K118" s="29" t="s">
        <v>237</v>
      </c>
      <c r="L118" s="29"/>
      <c r="M118" s="29"/>
    </row>
    <row r="119" spans="1:13" s="36" customFormat="1" x14ac:dyDescent="0.3">
      <c r="A119" s="28" t="s">
        <v>27</v>
      </c>
      <c r="B119" s="40" t="s">
        <v>148</v>
      </c>
      <c r="C119" s="29" t="s">
        <v>143</v>
      </c>
      <c r="D119" s="29" t="s">
        <v>27</v>
      </c>
      <c r="E119" s="29" t="s">
        <v>144</v>
      </c>
      <c r="F119" s="29" t="s">
        <v>144</v>
      </c>
      <c r="G119" s="29"/>
      <c r="H119" s="29" t="s">
        <v>93</v>
      </c>
      <c r="I119" s="30">
        <v>5150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60" t="s">
        <v>88</v>
      </c>
      <c r="C120" s="29" t="s">
        <v>26</v>
      </c>
      <c r="D120" s="29" t="s">
        <v>27</v>
      </c>
      <c r="E120" s="29" t="s">
        <v>78</v>
      </c>
      <c r="F120" s="29" t="s">
        <v>110</v>
      </c>
      <c r="G120" s="29"/>
      <c r="H120" s="29" t="s">
        <v>93</v>
      </c>
      <c r="I120" s="30">
        <v>4025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60" t="s">
        <v>89</v>
      </c>
      <c r="C121" s="29" t="s">
        <v>26</v>
      </c>
      <c r="D121" s="29" t="s">
        <v>27</v>
      </c>
      <c r="E121" s="29" t="s">
        <v>78</v>
      </c>
      <c r="F121" s="29" t="s">
        <v>110</v>
      </c>
      <c r="G121" s="29"/>
      <c r="H121" s="29" t="s">
        <v>93</v>
      </c>
      <c r="I121" s="30">
        <v>2300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103</v>
      </c>
      <c r="C122" s="29" t="s">
        <v>28</v>
      </c>
      <c r="D122" s="29" t="s">
        <v>27</v>
      </c>
      <c r="E122" s="29" t="s">
        <v>73</v>
      </c>
      <c r="F122" s="29" t="s">
        <v>74</v>
      </c>
      <c r="G122" s="29"/>
      <c r="H122" s="29" t="s">
        <v>93</v>
      </c>
      <c r="I122" s="30">
        <v>10000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104</v>
      </c>
      <c r="C123" s="29" t="s">
        <v>28</v>
      </c>
      <c r="D123" s="29" t="s">
        <v>27</v>
      </c>
      <c r="E123" s="29" t="s">
        <v>73</v>
      </c>
      <c r="F123" s="29" t="s">
        <v>74</v>
      </c>
      <c r="G123" s="29"/>
      <c r="H123" s="29" t="s">
        <v>93</v>
      </c>
      <c r="I123" s="30">
        <v>10000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105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20000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106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15000</v>
      </c>
      <c r="J125" s="29"/>
      <c r="K125" s="29" t="s">
        <v>237</v>
      </c>
      <c r="L125" s="29"/>
      <c r="M125" s="29"/>
    </row>
    <row r="126" spans="1:13" s="36" customFormat="1" x14ac:dyDescent="0.3">
      <c r="A126" s="28" t="s">
        <v>27</v>
      </c>
      <c r="B126" s="60" t="s">
        <v>107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15000</v>
      </c>
      <c r="J126" s="29"/>
      <c r="K126" s="29" t="s">
        <v>237</v>
      </c>
      <c r="L126" s="29"/>
      <c r="M126" s="29"/>
    </row>
    <row r="127" spans="1:13" s="36" customFormat="1" x14ac:dyDescent="0.3">
      <c r="A127" s="28" t="s">
        <v>27</v>
      </c>
      <c r="B127" s="60" t="s">
        <v>108</v>
      </c>
      <c r="C127" s="29" t="s">
        <v>28</v>
      </c>
      <c r="D127" s="29" t="s">
        <v>27</v>
      </c>
      <c r="E127" s="29" t="s">
        <v>73</v>
      </c>
      <c r="F127" s="29" t="s">
        <v>74</v>
      </c>
      <c r="G127" s="29"/>
      <c r="H127" s="29" t="s">
        <v>93</v>
      </c>
      <c r="I127" s="30">
        <v>10000</v>
      </c>
      <c r="J127" s="29"/>
      <c r="K127" s="29" t="s">
        <v>237</v>
      </c>
      <c r="L127" s="29"/>
      <c r="M127" s="29"/>
    </row>
    <row r="128" spans="1:13" s="36" customFormat="1" x14ac:dyDescent="0.3">
      <c r="A128" s="56"/>
      <c r="B128" s="59"/>
      <c r="C128" s="57"/>
      <c r="D128" s="57"/>
      <c r="E128" s="57"/>
      <c r="F128" s="57"/>
      <c r="G128" s="57"/>
      <c r="H128" s="57"/>
      <c r="I128" s="55"/>
      <c r="J128" s="57"/>
      <c r="K128" s="57"/>
      <c r="L128" s="57"/>
      <c r="M128" s="57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1" spans="1:13" ht="18" thickBot="1" x14ac:dyDescent="0.35"/>
    <row r="142" spans="1:13" ht="25.8" thickTop="1" thickBot="1" x14ac:dyDescent="0.35">
      <c r="F142" s="80"/>
      <c r="G142" s="37" t="s">
        <v>230</v>
      </c>
      <c r="H142" s="64">
        <f>SUMIF(D2:D1024,"مدفوع",I2:I1024)-748000</f>
        <v>1605707.54</v>
      </c>
    </row>
    <row r="143" spans="1:13" ht="25.8" thickTop="1" thickBot="1" x14ac:dyDescent="0.35">
      <c r="E143" s="67"/>
      <c r="F143" s="80"/>
      <c r="G143" s="38" t="s">
        <v>229</v>
      </c>
      <c r="H143" s="65">
        <f>SUMIF(D2:D1024,"مستقبلي",I2:I1024)</f>
        <v>130175</v>
      </c>
    </row>
    <row r="144" spans="1:13" ht="25.8" thickTop="1" thickBot="1" x14ac:dyDescent="0.35">
      <c r="E144" s="67"/>
      <c r="F144" s="80"/>
      <c r="G144" s="39" t="s">
        <v>228</v>
      </c>
      <c r="H144" s="66">
        <f>SUMIF(D2:D1024,"مدفوع",I2:I1024)</f>
        <v>2353707.54</v>
      </c>
    </row>
    <row r="145" spans="5:8" ht="18" thickTop="1" x14ac:dyDescent="0.3">
      <c r="E145" s="67"/>
    </row>
    <row r="146" spans="5:8" x14ac:dyDescent="0.3">
      <c r="E146" s="67"/>
    </row>
    <row r="148" spans="5:8" x14ac:dyDescent="0.3">
      <c r="E148" s="68"/>
      <c r="H148" s="63"/>
    </row>
  </sheetData>
  <mergeCells count="1">
    <mergeCell ref="A2:M2"/>
  </mergeCells>
  <dataValidations count="1">
    <dataValidation type="list" allowBlank="1" showInputMessage="1" showErrorMessage="1" sqref="D5:D139" xr:uid="{8DD4A2C2-2D88-4DA6-AAB9-88AA2C531F27}">
      <formula1>$D$5:$D$139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48"/>
  <sheetViews>
    <sheetView rightToLeft="1" topLeftCell="C22" zoomScaleNormal="100" workbookViewId="0">
      <selection activeCell="G27" sqref="G27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276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ht="39.6" x14ac:dyDescent="0.4">
      <c r="A25" s="81" t="s">
        <v>272</v>
      </c>
      <c r="B25" s="82" t="s">
        <v>274</v>
      </c>
      <c r="C25" s="82" t="s">
        <v>274</v>
      </c>
      <c r="D25" s="82" t="s">
        <v>274</v>
      </c>
      <c r="E25" s="83">
        <v>0</v>
      </c>
      <c r="F25" s="83">
        <v>100</v>
      </c>
      <c r="G25" s="84">
        <f>Table83[[#This Row],[سعر المتر]]*Table83[[#This Row],[الكمية]]</f>
        <v>0</v>
      </c>
      <c r="H25" s="85" t="s">
        <v>273</v>
      </c>
      <c r="I25" s="86" t="s">
        <v>275</v>
      </c>
    </row>
    <row r="26" spans="1:9" x14ac:dyDescent="0.4">
      <c r="A26" s="43">
        <v>46180</v>
      </c>
      <c r="B26" s="44" t="s">
        <v>154</v>
      </c>
      <c r="C26" s="44" t="s">
        <v>154</v>
      </c>
      <c r="D26" s="44" t="s">
        <v>154</v>
      </c>
      <c r="E26" s="44">
        <v>289.75</v>
      </c>
      <c r="F26" s="44">
        <v>55</v>
      </c>
      <c r="G26" s="45">
        <f>Table83[[#This Row],[سعر المتر]]*Table83[[#This Row],[الكمية]]</f>
        <v>15936.25</v>
      </c>
      <c r="H26" s="46" t="s">
        <v>153</v>
      </c>
    </row>
    <row r="27" spans="1:9" ht="39.6" x14ac:dyDescent="0.4">
      <c r="A27" s="47">
        <v>46181</v>
      </c>
      <c r="B27" s="48" t="s">
        <v>278</v>
      </c>
      <c r="C27" s="48" t="s">
        <v>279</v>
      </c>
      <c r="D27" s="52" t="s">
        <v>165</v>
      </c>
      <c r="E27" s="49">
        <v>289.75</v>
      </c>
      <c r="F27" s="49">
        <v>-96</v>
      </c>
      <c r="G27" s="50">
        <f>Table83[[#This Row],[سعر المتر]]*Table83[[#This Row],[الكمية]]</f>
        <v>-27816</v>
      </c>
      <c r="H27" s="51" t="s">
        <v>153</v>
      </c>
    </row>
    <row r="28" spans="1:9" ht="59.4" x14ac:dyDescent="0.4">
      <c r="A28" s="47">
        <v>46181</v>
      </c>
      <c r="B28" s="48" t="s">
        <v>280</v>
      </c>
      <c r="C28" s="48" t="s">
        <v>279</v>
      </c>
      <c r="D28" s="52" t="s">
        <v>165</v>
      </c>
      <c r="E28" s="49">
        <v>5.75</v>
      </c>
      <c r="F28" s="49">
        <v>-96</v>
      </c>
      <c r="G28" s="50">
        <f>Table83[[#This Row],[سعر المتر]]*Table83[[#This Row],[الكمية]]</f>
        <v>-552</v>
      </c>
      <c r="H28" s="51" t="s">
        <v>153</v>
      </c>
    </row>
    <row r="29" spans="1:9" x14ac:dyDescent="0.4">
      <c r="A29" s="43">
        <v>46180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55</v>
      </c>
      <c r="G29" s="45">
        <v>262.25</v>
      </c>
      <c r="H29" s="46" t="s">
        <v>153</v>
      </c>
    </row>
    <row r="30" spans="1:9" x14ac:dyDescent="0.4">
      <c r="A30" s="15"/>
      <c r="B30" s="44"/>
      <c r="C30" s="32"/>
      <c r="D30" s="1"/>
      <c r="E30" s="32"/>
      <c r="F30" s="1"/>
      <c r="G30" s="88">
        <f>Table83[[#This Row],[سعر المتر]]*Table83[[#This Row],[الكمية]]</f>
        <v>0</v>
      </c>
      <c r="H30" s="16"/>
    </row>
    <row r="31" spans="1:9" x14ac:dyDescent="0.4">
      <c r="A31" s="15"/>
      <c r="B31" s="44"/>
      <c r="C31" s="32"/>
      <c r="D31" s="1"/>
      <c r="E31" s="32"/>
      <c r="F31" s="1"/>
      <c r="G31" s="88">
        <f>Table83[[#This Row],[سعر المتر]]*Table83[[#This Row],[الكمية]]</f>
        <v>0</v>
      </c>
      <c r="H31" s="16"/>
    </row>
    <row r="32" spans="1:9" x14ac:dyDescent="0.4">
      <c r="A32" s="15"/>
      <c r="B32" s="44"/>
      <c r="C32" s="32"/>
      <c r="D32" s="1"/>
      <c r="E32" s="32"/>
      <c r="F32" s="1"/>
      <c r="G32" s="88">
        <f>Table83[[#This Row],[سعر المتر]]*Table83[[#This Row],[الكمية]]</f>
        <v>0</v>
      </c>
      <c r="H32" s="16"/>
    </row>
    <row r="33" spans="1:12" x14ac:dyDescent="0.4">
      <c r="A33" s="15"/>
      <c r="B33" s="14"/>
      <c r="C33" s="87"/>
      <c r="D33" s="1"/>
      <c r="E33" s="32"/>
      <c r="F33" s="1"/>
      <c r="G33" s="88">
        <f>Table83[[#This Row],[سعر المتر]]*Table83[[#This Row],[الكمية]]</f>
        <v>0</v>
      </c>
      <c r="H33" s="16"/>
    </row>
    <row r="34" spans="1:12" x14ac:dyDescent="0.4">
      <c r="A34" s="31"/>
      <c r="B34" s="32"/>
      <c r="C34" s="32"/>
      <c r="D34" s="33"/>
      <c r="E34" s="33"/>
      <c r="F34" s="33"/>
      <c r="G34" s="42">
        <f>Table83[[#This Row],[سعر المتر]]*Table83[[#This Row],[الكمية]]</f>
        <v>0</v>
      </c>
      <c r="H34" s="35"/>
    </row>
    <row r="35" spans="1:12" x14ac:dyDescent="0.4">
      <c r="J35" s="91" t="s">
        <v>167</v>
      </c>
      <c r="K35" s="91"/>
      <c r="L35" s="91"/>
    </row>
    <row r="36" spans="1:12" x14ac:dyDescent="0.4">
      <c r="F36" s="9" t="s">
        <v>150</v>
      </c>
      <c r="G36" s="41">
        <f>SUM(G6:G34)</f>
        <v>869.25</v>
      </c>
      <c r="J36" s="1" t="s">
        <v>166</v>
      </c>
      <c r="K36" s="1" t="s">
        <v>152</v>
      </c>
      <c r="L36" s="1" t="s">
        <v>6</v>
      </c>
    </row>
    <row r="37" spans="1:12" x14ac:dyDescent="0.4">
      <c r="J37" s="1">
        <v>289.75</v>
      </c>
      <c r="K37" s="1">
        <v>3</v>
      </c>
      <c r="L37" s="1">
        <f>J37*K37</f>
        <v>869.25</v>
      </c>
    </row>
    <row r="38" spans="1:12" x14ac:dyDescent="0.4">
      <c r="F38" s="9" t="s">
        <v>201</v>
      </c>
      <c r="G38" s="41">
        <f>G36/J37</f>
        <v>3</v>
      </c>
    </row>
    <row r="41" spans="1:12" x14ac:dyDescent="0.4">
      <c r="J41" s="54"/>
    </row>
    <row r="42" spans="1:12" x14ac:dyDescent="0.4">
      <c r="J42" s="54"/>
    </row>
    <row r="46" spans="1:12" x14ac:dyDescent="0.4">
      <c r="J46" s="2">
        <v>607</v>
      </c>
    </row>
    <row r="47" spans="1:12" x14ac:dyDescent="0.4">
      <c r="J47" s="89">
        <v>262.25</v>
      </c>
    </row>
    <row r="48" spans="1:12" x14ac:dyDescent="0.4">
      <c r="J48" s="2">
        <f>SUM(J46:J47)</f>
        <v>869.25</v>
      </c>
    </row>
  </sheetData>
  <mergeCells count="1">
    <mergeCell ref="J35:L3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2026-06-15T12:51:21Z</dcterms:modified>
  <cp:category/>
  <cp:contentStatus/>
</cp:coreProperties>
</file>