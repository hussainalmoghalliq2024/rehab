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y Drive\New House\"/>
    </mc:Choice>
  </mc:AlternateContent>
  <xr:revisionPtr revIDLastSave="0" documentId="13_ncr:1_{636C3671-EA68-4399-A34A-E999B8821A0A}" xr6:coauthVersionLast="47" xr6:coauthVersionMax="47" xr10:uidLastSave="{00000000-0000-0000-0000-000000000000}"/>
  <bookViews>
    <workbookView xWindow="-110" yWindow="-110" windowWidth="19420" windowHeight="11500" tabRatio="713" xr2:uid="{AB74FC30-BEBC-4B99-9425-710997B15428}"/>
  </bookViews>
  <sheets>
    <sheet name="المصروفات" sheetId="7" r:id="rId1"/>
    <sheet name="خرسانة المرهون" sheetId="9" r:id="rId2"/>
    <sheet name="الراية" sheetId="10" r:id="rId3"/>
    <sheet name="رصيد عدنان المجاب" sheetId="3" r:id="rId4"/>
    <sheet name="زيارات المشرف - مشتاق" sheetId="2" r:id="rId5"/>
    <sheet name="طابوق سفكو" sheetId="11" r:id="rId6"/>
  </sheets>
  <definedNames>
    <definedName name="_xlnm._FilterDatabase" localSheetId="2" hidden="1">الراية!$A$5:$F$19</definedName>
    <definedName name="_xlnm._FilterDatabase" localSheetId="1" hidden="1">'خرسانة المرهون'!$A$5:$H$52</definedName>
    <definedName name="_xlnm._FilterDatabase" localSheetId="3" hidden="1">'رصيد عدنان المجاب'!$A$5:$F$8</definedName>
    <definedName name="_xlnm._FilterDatabase" localSheetId="4" hidden="1">'زيارات المشرف - مشتاق'!$A$5:$C$5</definedName>
    <definedName name="_xlnm._FilterDatabase" localSheetId="5" hidden="1">'طابوق سفكو'!$A$5:$F$19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9" l="1"/>
  <c r="G50" i="9"/>
  <c r="G51" i="9"/>
  <c r="G45" i="9"/>
  <c r="G43" i="9"/>
  <c r="G42" i="9"/>
  <c r="G41" i="9"/>
  <c r="G40" i="9"/>
  <c r="G38" i="9"/>
  <c r="G37" i="9"/>
  <c r="G34" i="9"/>
  <c r="G33" i="9"/>
  <c r="G32" i="9"/>
  <c r="L69" i="9"/>
  <c r="L64" i="9"/>
  <c r="N72" i="9" s="1"/>
  <c r="G31" i="9"/>
  <c r="G30" i="9"/>
  <c r="G29" i="9"/>
  <c r="G27" i="9"/>
  <c r="G26" i="9"/>
  <c r="G25" i="9"/>
  <c r="G24" i="9"/>
  <c r="E31" i="11"/>
  <c r="D31" i="11"/>
  <c r="K31" i="11"/>
  <c r="L22" i="11"/>
  <c r="G21" i="11"/>
  <c r="G23" i="9"/>
  <c r="G22" i="9"/>
  <c r="G21" i="9"/>
  <c r="G20" i="9"/>
  <c r="H191" i="7"/>
  <c r="G19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52" i="9"/>
  <c r="G21" i="10"/>
  <c r="K28" i="10"/>
  <c r="L22" i="10"/>
  <c r="I5" i="7"/>
  <c r="H190" i="7" s="1"/>
  <c r="H192" i="7"/>
  <c r="E10" i="3"/>
  <c r="G54" i="9" l="1"/>
  <c r="G56" i="9" l="1"/>
</calcChain>
</file>

<file path=xl/sharedStrings.xml><?xml version="1.0" encoding="utf-8"?>
<sst xmlns="http://schemas.openxmlformats.org/spreadsheetml/2006/main" count="2007" uniqueCount="371">
  <si>
    <t>مصروفات البيت</t>
  </si>
  <si>
    <t>التاريخ</t>
  </si>
  <si>
    <t>الوصف</t>
  </si>
  <si>
    <t>مقدم الخدمة</t>
  </si>
  <si>
    <t>مدفوع/
مستقبلي</t>
  </si>
  <si>
    <t>نوع
 التكلفة</t>
  </si>
  <si>
    <t>المبلغ</t>
  </si>
  <si>
    <t>ملاحظات</t>
  </si>
  <si>
    <t>سعر الأرض</t>
  </si>
  <si>
    <t>مدفوع</t>
  </si>
  <si>
    <t>نعم</t>
  </si>
  <si>
    <t>تصميم الخارطة - الدفعة الأولى</t>
  </si>
  <si>
    <t>14000 درهم</t>
  </si>
  <si>
    <t>تصميم الخارطة - الدفعة الثانية</t>
  </si>
  <si>
    <t>10000 درهم</t>
  </si>
  <si>
    <t>تصميم الخارطة ثلاثي الأبعاد</t>
  </si>
  <si>
    <t>3500 درهم</t>
  </si>
  <si>
    <t>إصدار شهادة التحديد المساحي</t>
  </si>
  <si>
    <t>خدمة الإقرار المساحي</t>
  </si>
  <si>
    <t>القرار المساحي + إجراءات الرخصة من بلدي</t>
  </si>
  <si>
    <t>إصدار رخصة البناء</t>
  </si>
  <si>
    <t>منصة بلدي</t>
  </si>
  <si>
    <t>تمنكو لمختبرات التربة</t>
  </si>
  <si>
    <t>التعاونية للتأمين</t>
  </si>
  <si>
    <t>خدمة الإشراف - الدفعة الأولى عند توقيع العقد</t>
  </si>
  <si>
    <t>مشتاق المير</t>
  </si>
  <si>
    <t>مستقبلي</t>
  </si>
  <si>
    <t>ابن مقطوف</t>
  </si>
  <si>
    <t>الدفعة الأولى للشينكو - 24 متر - دوقال</t>
  </si>
  <si>
    <t>دوقال</t>
  </si>
  <si>
    <t>الدفعة الثانية للشينكو - 24 متر - دوقال</t>
  </si>
  <si>
    <t>الدفعة الثالثة للشينكو - 24 متر - دوقال</t>
  </si>
  <si>
    <t>شركة نباتات للمقاولات</t>
  </si>
  <si>
    <t>دفعة مبدئية لخدمة الحفر والرص والحجر</t>
  </si>
  <si>
    <t>الحداد - الإمارات - 
المهندس ماجد</t>
  </si>
  <si>
    <t>رؤية المستقبل - القطيف - 
أبو عباس</t>
  </si>
  <si>
    <t>خدمة تعديل القرارالمساحي</t>
  </si>
  <si>
    <t>زيارات المشرف - مشتاق المير</t>
  </si>
  <si>
    <t>زيارة من عماد + لم يتم عمل شي + الزبارة أخذت 5 دقائق</t>
  </si>
  <si>
    <t>رصيد عدنان المجاب</t>
  </si>
  <si>
    <t>رصيد</t>
  </si>
  <si>
    <t>الرصيد المتبقي لخدمات عدنان</t>
  </si>
  <si>
    <t>الصفار - صفوى</t>
  </si>
  <si>
    <t>مادة جي تيكس للأرضية</t>
  </si>
  <si>
    <t>طباعة بانر بمعلومات المقاول والإستشاري</t>
  </si>
  <si>
    <t>كونترول بي ctrl + p</t>
  </si>
  <si>
    <t>دفعة ثانية لخدمة الحفر والرص والحجر</t>
  </si>
  <si>
    <t>فحص ضغط التربة</t>
  </si>
  <si>
    <t>الفئة</t>
  </si>
  <si>
    <t>الفئة الفرعية</t>
  </si>
  <si>
    <t>تصميم معماري</t>
  </si>
  <si>
    <t>قبل البناء</t>
  </si>
  <si>
    <t>طريقة الدفع</t>
  </si>
  <si>
    <t>حوالة</t>
  </si>
  <si>
    <t>سداد</t>
  </si>
  <si>
    <t>ساب</t>
  </si>
  <si>
    <t>دفع أونلاين</t>
  </si>
  <si>
    <t>فيزا</t>
  </si>
  <si>
    <t>ساب - أبو باقر</t>
  </si>
  <si>
    <t>الرياض</t>
  </si>
  <si>
    <t>ساب - الوالد</t>
  </si>
  <si>
    <t>ساب - العربي</t>
  </si>
  <si>
    <t>بطاقة إئتمانية</t>
  </si>
  <si>
    <t>تصميم وهندسة</t>
  </si>
  <si>
    <t>تصميم ثلاثي الأبعاد</t>
  </si>
  <si>
    <t>أرض</t>
  </si>
  <si>
    <t>شراء أرض</t>
  </si>
  <si>
    <t>فحص تربة</t>
  </si>
  <si>
    <t>شهادة تحديد مساحي</t>
  </si>
  <si>
    <t>إقرار مساحي</t>
  </si>
  <si>
    <t>تعديل قرار مساحي</t>
  </si>
  <si>
    <t>قرار مساحي ورخصة</t>
  </si>
  <si>
    <t>مقاول وأعمال إنشائية</t>
  </si>
  <si>
    <t>دفعة مقاول</t>
  </si>
  <si>
    <t>رخصة بناء</t>
  </si>
  <si>
    <t>تأمين</t>
  </si>
  <si>
    <t>تأمين بناء</t>
  </si>
  <si>
    <t>إشراف هندسي</t>
  </si>
  <si>
    <t>بناء شينكو ألمنيوم</t>
  </si>
  <si>
    <t>أعمال الموقع</t>
  </si>
  <si>
    <t>حفر وردم</t>
  </si>
  <si>
    <t>مواد بناء</t>
  </si>
  <si>
    <t>عزل أرضيات</t>
  </si>
  <si>
    <t>حاوية مخلفات بناء</t>
  </si>
  <si>
    <t>مكتب قمة التطوير</t>
  </si>
  <si>
    <t>عقد خدمة الحاوية - مخلفات البناء - يشمل حاوية واحدة (ستستخدم عند الحاجة للحاوية بعد شهرين الى 3 شهور من البناء)</t>
  </si>
  <si>
    <t>خدمة الإشراف - الدفعة الثالثة عند استلام سقف الدور الأرضي</t>
  </si>
  <si>
    <t>خدمة الإشراف - الدفعة الرابعة عند استلام سقف الدور الأول</t>
  </si>
  <si>
    <t>خدمة الإشراف - الدفعة الخامسة بعد الإنتهاء من أعمال العظم</t>
  </si>
  <si>
    <t>تأكيد كل
المعلومات؟</t>
  </si>
  <si>
    <t>مرحلة
المشروع</t>
  </si>
  <si>
    <t>حالة
الدفع</t>
  </si>
  <si>
    <t>البناء</t>
  </si>
  <si>
    <t>ساب - الأهلي</t>
  </si>
  <si>
    <t>خرسانة الداوود</t>
  </si>
  <si>
    <t>الوالد</t>
  </si>
  <si>
    <t>الدفعة الأولى للمقاول - عند توقيع العقد</t>
  </si>
  <si>
    <t>الدفعة الثانية للمقاول - بعد الإنتهاء من صب النظافة</t>
  </si>
  <si>
    <t>الدفعة الثالثة للمقاول - بعد الإنتهاء من صب القاعدة</t>
  </si>
  <si>
    <t>الدفعة الرابعة للمقاول - بعد الإنتهاء من صب جسر الميدة</t>
  </si>
  <si>
    <t>الدفعة السابعة للمقاول - بعد الإنتهاء من تركيب الطابوق وصب الأعتاب في الدور الأرضي</t>
  </si>
  <si>
    <t>الدفعة الثامنة للمقاول - بعد الإنتهاء من صب سقف الدور الأرضي</t>
  </si>
  <si>
    <t>الدفعة التاسعة للمقاول - بعد الإنتهاء من الأعمدة للدور الأول</t>
  </si>
  <si>
    <t>الدفعة العاشرة للمقاول - بعد الإنتهاء من تركيب الطابوق وصب الأعتاب في الدور الأول</t>
  </si>
  <si>
    <t>الدفعة الحادية عشر للمقاول - بعد الإنتهاء من صب سقف الدور الأول</t>
  </si>
  <si>
    <t>الدفعة الثانية عشر للمقاول - بعد الإنتهاء من تركيب الطابوق وصب الأعمدة والأعتاب لدور الملحق</t>
  </si>
  <si>
    <t>الدفعة الثالثة عشر للمقاول - بعد الإنتهاء من صب سقف الملحق</t>
  </si>
  <si>
    <t>الدفعة الرابعة عشر للمقاول - بعد الإنتهاء من بناء السةر والوارش وجميع الأعمال المتعلقة لبناء العظم وتنظيف كامل المبنى واستلام المشرف على المشروع</t>
  </si>
  <si>
    <t>عن طريق أنطوني</t>
  </si>
  <si>
    <t>إشراف</t>
  </si>
  <si>
    <t>صبية النظافة - 48 متر مكعب - 4 سيارات - 210 ريال للمتر</t>
  </si>
  <si>
    <t>صبية النظافة - 9 متر مكعب - سيارة واحدة - 210 ريال للمتر</t>
  </si>
  <si>
    <t>شراء باغة للتركيب ما قبل صبية النظافة - بلاستيك تعقيم</t>
  </si>
  <si>
    <t xml:space="preserve">تأمين بناء المنزل - الدفعة الأولى
البنود:
6 زيارات كالتالي:
* صب الأساسات
* صب الميدات الأرضية
* صب الأعمدة
* صب السقف الخرساني
* العزل المائي
* التشطيبات
</t>
  </si>
  <si>
    <t>أول طلبية حديد
10 مل = 0.5 طن
14 مل = 10 طن
16 مل = 3 طن</t>
  </si>
  <si>
    <t>حديد</t>
  </si>
  <si>
    <t>سبيسرات رقم 4 - 75 مل - 704 حبة
1 كيس = 32 حبة</t>
  </si>
  <si>
    <t>سبيسرات</t>
  </si>
  <si>
    <t>كاش</t>
  </si>
  <si>
    <t>تم التسليم في 9 جانواري</t>
  </si>
  <si>
    <t>أول تعبئة لخزان الماء</t>
  </si>
  <si>
    <t>ثاني طلبية حديد
14 مل = 6 طن</t>
  </si>
  <si>
    <t>صبية الأساسات</t>
  </si>
  <si>
    <t>شركة الرائد لمواد البناء</t>
  </si>
  <si>
    <t>ألواح مائلة لفواصل التمدد</t>
  </si>
  <si>
    <t>عام</t>
  </si>
  <si>
    <t>خرسانة المرهون</t>
  </si>
  <si>
    <t>مصنع الخليج للطابوق</t>
  </si>
  <si>
    <t>حديد
10 ملم
1 طن
***************
14 ملم
1 طن</t>
  </si>
  <si>
    <t>طابوق
20 سم
600 حبة
********************
30 سم
900 حبة
بدون عازل</t>
  </si>
  <si>
    <t>اغراض عن طريق انطوني - اغراض بايب فيتينغ وغراء وأكواع</t>
  </si>
  <si>
    <t>بطاقة مدى</t>
  </si>
  <si>
    <t>تم التسليم يد بيد في 24 جانواري 2026</t>
  </si>
  <si>
    <t>مؤسسة نوران الديرة التجارية</t>
  </si>
  <si>
    <t>خدمة الإشراف - الدفعة الثانية عند استلام الميد الأرضية</t>
  </si>
  <si>
    <t>اغراض عن طريق انطوني - دينمو وباب فيتينج وغيرها</t>
  </si>
  <si>
    <t>الدفعة السادسة للمقاول - بعد الإنتهاء من صب الأعمدة في الدور الأرضي</t>
  </si>
  <si>
    <t>تم التسليم في 25 جانواري</t>
  </si>
  <si>
    <t>20 كيس اسمنت
قلابي</t>
  </si>
  <si>
    <t>اسمنت</t>
  </si>
  <si>
    <t>تعبئة ماء الخزان</t>
  </si>
  <si>
    <t>طابوق
20 سم
1000 حبة
بدون عازل</t>
  </si>
  <si>
    <t>مؤسسة الوطن للتكييف والبريد</t>
  </si>
  <si>
    <t>التكييف</t>
  </si>
  <si>
    <t>عقد التكييف - الدفعة الأولى - عند توقيع العقد و عمل التصماميم - 15%</t>
  </si>
  <si>
    <t>عقد التكييف - الدفعة الثانية - عند طلب العمل في مجاري الهواء - 40%</t>
  </si>
  <si>
    <t>عقد التكييف - الدفعة الثالثة - عند طلب الوحدات الداخلية - 35%</t>
  </si>
  <si>
    <t>عقد التكييف - الدفعة الرابعة - عند طلب الوحدات الخارجية وتركيب الجرلات - 10%</t>
  </si>
  <si>
    <t>الرصيد المتبقي للإستخدام</t>
  </si>
  <si>
    <t>سعر المتر</t>
  </si>
  <si>
    <t>الكمية</t>
  </si>
  <si>
    <t>تم الدفع</t>
  </si>
  <si>
    <t>اضافة رصيد</t>
  </si>
  <si>
    <t xml:space="preserve">صبية الأساسات
178 م3
4000 psi
289.75 ريال للمتر المكعب </t>
  </si>
  <si>
    <t>ساب - الرياض</t>
  </si>
  <si>
    <t>شركة مدار لمواد البناء المحدودة</t>
  </si>
  <si>
    <t>قار للأرضية
200 لتر
Butumen emulsion paint</t>
  </si>
  <si>
    <t>178 متر مكعب
ضغط 4000</t>
  </si>
  <si>
    <t>15 متر مكعب
ضغط 4000</t>
  </si>
  <si>
    <t>الوصف 2</t>
  </si>
  <si>
    <t>الوصف 1</t>
  </si>
  <si>
    <t>صبية أعمدة الأرقاب</t>
  </si>
  <si>
    <t>إضافة رصيد</t>
  </si>
  <si>
    <t>استهلاك رصيد</t>
  </si>
  <si>
    <t>سعر المتر المكعب</t>
  </si>
  <si>
    <t>الحاسبة</t>
  </si>
  <si>
    <t>مؤسسة عدنان علي المجاب للمقاولات العامة</t>
  </si>
  <si>
    <t>كيسين اسمنت</t>
  </si>
  <si>
    <t xml:space="preserve">صبية سور - بيم
8 م3
4000 psi
289.75 ريال للمتر المكعب </t>
  </si>
  <si>
    <t xml:space="preserve">صبية أعمدة الأرقاب
15 م3
4000 psi
289.75 ريال للمتر المكعب </t>
  </si>
  <si>
    <t>صبية أعمدة</t>
  </si>
  <si>
    <t>8 متر مكعب
ضغط 4000</t>
  </si>
  <si>
    <t>رسوم أتعاب مكتب (تأمين منزل)</t>
  </si>
  <si>
    <t>مطلق الهاجري للإستقدام</t>
  </si>
  <si>
    <t>STC Pay</t>
  </si>
  <si>
    <t>42 تريلة رمل
17 ساعة شيول
7 تريلة عمل بالكماش
1 حاوية</t>
  </si>
  <si>
    <t>رمل</t>
  </si>
  <si>
    <t>حوالة للوالد</t>
  </si>
  <si>
    <t>أشغال عامة</t>
  </si>
  <si>
    <t>طلبية حديد
16 مل = 4 طن
10 مل = 2.5 طن</t>
  </si>
  <si>
    <t xml:space="preserve">صبية أرضية النظافة
18 م3
4000 psi
289.75 ريال للمتر المكعب </t>
  </si>
  <si>
    <t>صبية ألنظافة</t>
  </si>
  <si>
    <t>18 متر مكعب
ضغط 4000</t>
  </si>
  <si>
    <t>تم الدفع عن طريق الوالد</t>
  </si>
  <si>
    <t>مدى</t>
  </si>
  <si>
    <t xml:space="preserve">صبية الميدات الأرضية
45 م3
4000 psi
289.75 ريال للمتر المكعب </t>
  </si>
  <si>
    <t>سوق السكراب دلة</t>
  </si>
  <si>
    <t>صبية الميدة</t>
  </si>
  <si>
    <t>45 متر مكعب
ضغط 4000</t>
  </si>
  <si>
    <t>خشب بلاي وود</t>
  </si>
  <si>
    <t>كيبل الجراند وكليبسات</t>
  </si>
  <si>
    <t>مواسير</t>
  </si>
  <si>
    <t>أحمد بن دياب وشركاه</t>
  </si>
  <si>
    <t>أسمنت + مواد اخرى</t>
  </si>
  <si>
    <t>عن طريق الوالد</t>
  </si>
  <si>
    <t>10 تريلات رمل
8 تريلات رفع بالكماشة
8 ساعات عمل شيول</t>
  </si>
  <si>
    <t>شبك</t>
  </si>
  <si>
    <t>شبك صبيات الأرضية ٨ مل - ٥٠ حبة</t>
  </si>
  <si>
    <t>رصيد الأمتار المتبقية - م ٣</t>
  </si>
  <si>
    <t>نخيل البوادي - أم الساهك</t>
  </si>
  <si>
    <t>٥ لتر مواد كيماوية ضد النمل الأبيض</t>
  </si>
  <si>
    <t>كيماوي</t>
  </si>
  <si>
    <t>دفع فيزا</t>
  </si>
  <si>
    <t>فلر بورد + نقل الفلر بورد + تقطيع الفلر بورد</t>
  </si>
  <si>
    <t xml:space="preserve">صبية  الأرضية ٢٨ متر 3
4000 psi
289.75 ريال للمتر المكعب </t>
  </si>
  <si>
    <t>صبية الأرضية</t>
  </si>
  <si>
    <t>٢٨ متر مكعب
ضغط 4000</t>
  </si>
  <si>
    <t>٣ طن ١٦ مل + ٢ طن ١٠ مل</t>
  </si>
  <si>
    <t>الراية</t>
  </si>
  <si>
    <t>يد بيد الى أنطوني</t>
  </si>
  <si>
    <t>الدفعة الخامسة للمقاول - بعد الإنتهاء من صب أرضية البيت وتركيب
 جميع أنابيب السباكة والمجاري وتجهيز ما يتعلق بالكهرباء في الدور الأرضي</t>
  </si>
  <si>
    <t>سبيسرات ٥ اكياس * ١٥٠ = ٧٥٠ حبة</t>
  </si>
  <si>
    <t>غراء + ايبوكسي + رولرات صباغة + بيبات 2 انش 4 انش + منظفكونكترات + أخرى</t>
  </si>
  <si>
    <t>فلين 125 * 60 * 5
160 حبة</t>
  </si>
  <si>
    <t>سفكو - شركة سيل الريادة الصناعية السعودية</t>
  </si>
  <si>
    <t>مصنع الشرق للبوليستيرين</t>
  </si>
  <si>
    <t xml:space="preserve">صبية أعمدة الدور الأرضي
18 م3
4000 psi
289.75 ريال للمتر المكعب </t>
  </si>
  <si>
    <t>صبية أعمدة الدور الأرضي</t>
  </si>
  <si>
    <t>طابوق - 3500 طابوقة
1000 طابوقة 10 سم
1000 طابوقة 15 سم
1000 طابوقة 20 سم
500 طابوقة 30 سم</t>
  </si>
  <si>
    <t>بيع حديد الى أبو باقر (عديله)
16 ملم
3 أسياخ في 12 متر = 36 متر</t>
  </si>
  <si>
    <t>أبو باقر</t>
  </si>
  <si>
    <t>كاش لأنطوني</t>
  </si>
  <si>
    <t>٥٠ كيس اسمنت + حاوية</t>
  </si>
  <si>
    <t>بيبات مختلفة الأحجام - طلب رقم ٢</t>
  </si>
  <si>
    <t>طابوق - ١٠٠٠ طابوقة
٥٠٠  طابوقة 10 سم
٥٠٠ طابوقة 15 سم</t>
  </si>
  <si>
    <t>المدفوع إلى الآن مع سعر الأرض</t>
  </si>
  <si>
    <t>الالتزامات المتبقية</t>
  </si>
  <si>
    <t>المدفوع حتى الآن – بدون الأرض</t>
  </si>
  <si>
    <t>فلين 125 * 60 * 5
120 حبة</t>
  </si>
  <si>
    <t>طابوق</t>
  </si>
  <si>
    <t>الرصاصة + سطحة لنقل الرصاصة</t>
  </si>
  <si>
    <t>فلر بورد</t>
  </si>
  <si>
    <t>فلين</t>
  </si>
  <si>
    <t>المرحلة</t>
  </si>
  <si>
    <t>مرحلة العظم</t>
  </si>
  <si>
    <t>مؤسسة الراية المتطورة التجارية</t>
  </si>
  <si>
    <t>صبية خرسانة</t>
  </si>
  <si>
    <t>معلومات إضافية</t>
  </si>
  <si>
    <t>صبية سور - بيم</t>
  </si>
  <si>
    <t>صبية أرضية النظافة</t>
  </si>
  <si>
    <t>صبية الميدات الأساسية</t>
  </si>
  <si>
    <t>صبية النظافة الأولى</t>
  </si>
  <si>
    <t>طباعة لوحات موقع</t>
  </si>
  <si>
    <t>مؤسسة علي حسين آل موسى - صفوى</t>
  </si>
  <si>
    <t>فحص ومسح ورخص</t>
  </si>
  <si>
    <t>طابوق - ١٠٠٠ طابوقة
400  طابوقة 10 سم
400 طابوقة 15 سم
200 طابوقة 30 سم</t>
  </si>
  <si>
    <t>CONCRETE NAIL JET KSA
BLOCK ANGLE 2 MM HEAVY
BLOCK LADDER MESH 15X300 CM
BLOCK LADDER 10%300 CM
BLOCK LADDER 5X250 CM
BULLET GUN HEAVY DUTY
CARTRIDGES 100 PCS [BULLET FORCE)
GLUE-714 - CPVC -1 KG
CLEANER ARAIB 1KG
COMPOUND EPOXY (A+B) 5.KG
PIPE-6"-SCH.40-DPM
6" X "4 WYE-REDUCER SCH.40
6" ELB-45 (D.P.M)</t>
  </si>
  <si>
    <t>ELB.90 -3/4" SCH.80 - CPyC
BALL VALVE3/4"-CPVC (INDIA)
3/4" PIPE SCH.80 - CPVC-BHR
3/4" X 1/2" ELB.BRASS SCH.80- CPVC
COUPLING -3/4" SCH.80 - PVC
TEE -1" SCH.80 - CPVC
TEE - 3/4"SCH.80 - CPVC
UNION -3/4" SCH.80 - CPVC
1" X 3/4" BSH. SCH.80 - CPVC
CLEANER ARAIB 1/8"
GLUE ARAIB 1/4 KG 714</t>
  </si>
  <si>
    <t>٢٥ كيس اسمنت</t>
  </si>
  <si>
    <t>طابوق أحمر</t>
  </si>
  <si>
    <t>وجيه الصفواني - أبو هادي</t>
  </si>
  <si>
    <t>طابوق - ١٠٠٠ طابوقة
300 طابوقة 10 سم
300 طابوقة 15 سم
400 طابوقة 20 سم</t>
  </si>
  <si>
    <t>صبية الأعتاب  والأعمدة  والدرج</t>
  </si>
  <si>
    <t>١٠ متر مكعب
ضغط 4000</t>
  </si>
  <si>
    <t xml:space="preserve">صبية الأعتاب + الأعمدة + الدرج للدور الأرضي
10 م3
4000 psi
289.75 ريال للمتر المكعب </t>
  </si>
  <si>
    <t>6 متر مكعب
ضغط 4000</t>
  </si>
  <si>
    <t xml:space="preserve">صبية الأعتاب + الأعمدة + الدرج للدور الأرضي
6 م3
4000 psi
289.75 ريال للمتر المكعب </t>
  </si>
  <si>
    <t>طابوق سفكو</t>
  </si>
  <si>
    <t>طابوق 10 سم</t>
  </si>
  <si>
    <t>السعر - ريال</t>
  </si>
  <si>
    <t>القيمة المضافة</t>
  </si>
  <si>
    <t>المبلغ شامل القيمة المضافة</t>
  </si>
  <si>
    <t>12 كيس اسمنت</t>
  </si>
  <si>
    <t>5 أكياس اسمنت</t>
  </si>
  <si>
    <t>طلبية حديد
8 مل = 1 طن
10 مل = 2 طن
12 مل = 2 طن
14 مل = 1 طن
16 مل = 6 طن
18 مل = 20 سيخ فقط
500 حبة سبيسرات</t>
  </si>
  <si>
    <t>شبك صبية 7.5 مل - 1.5 * 4 متر فتحة 20 * 20 سم - 19 * 7</t>
  </si>
  <si>
    <t>فلين 200 * 40 * 23
140 حبة
ضغط 20</t>
  </si>
  <si>
    <t>كماشة</t>
  </si>
  <si>
    <t>خدمات</t>
  </si>
  <si>
    <t>Column1</t>
  </si>
  <si>
    <t>صبية سقف الدور الأرضي</t>
  </si>
  <si>
    <t>صبية سقف الطابق الأرضي</t>
  </si>
  <si>
    <t>96 متر مكعب ضغط 4000</t>
  </si>
  <si>
    <t>ماء بارد لصبية سقف الدور الأرضي</t>
  </si>
  <si>
    <t>ماء بارد لصبية سقف الدور الأرضي
96 م3
 5.75 ريال لكل متر مكعب</t>
  </si>
  <si>
    <t xml:space="preserve">صبية سقف الدور الأرضي
96 م3
4000 psi
289.75 ريال للمتر المكعب </t>
  </si>
  <si>
    <t>طلبية حديد
10 مل = 2 طن
16 مل = 3 طن</t>
  </si>
  <si>
    <t>دفعة إضافية للمقاول لعمل إضافة لمنطقة الديوانية</t>
  </si>
  <si>
    <t>سبيسرات ٢ كيس * ١٥٠ = ٣٠٠ حبة</t>
  </si>
  <si>
    <t>شركة مصدر لمواد البناء</t>
  </si>
  <si>
    <t>دفع مباشر</t>
  </si>
  <si>
    <t>مواد عامة من الصفار</t>
  </si>
  <si>
    <t>صبية أعمدة الطابق الأول</t>
  </si>
  <si>
    <t>صبية أعمدة الدور الأول</t>
  </si>
  <si>
    <t>حاسبة خرسانة الأسمنت</t>
  </si>
  <si>
    <t>حاسبة الماء البارد للخرسانة</t>
  </si>
  <si>
    <t xml:space="preserve">صبية أعمدة الدور الأول
15 م3
4000 psi
289.75 ريال للمتر المكعب </t>
  </si>
  <si>
    <t>15 متر مكعب ضغط 4000</t>
  </si>
  <si>
    <t>طابوق - ١٠٠٠ طابوقة
1000 طابوقة 10 سم
1000 طابوقة 15 سم
1000 طابوقة 20 سم</t>
  </si>
  <si>
    <t>بيبات مختلفة الأحجام - طلب رقم 3</t>
  </si>
  <si>
    <t>طابوق - 500 طابوقة
500 طابوقة 10 سم
500 طابوقة 15 سم</t>
  </si>
  <si>
    <t>10 متر مكعب ضغط 4000</t>
  </si>
  <si>
    <t>صبية أعمدة الطابق الأول 2</t>
  </si>
  <si>
    <t>ماء بارد لصبية أعمدة الدور الأول 1</t>
  </si>
  <si>
    <t xml:space="preserve">صبية أعمدة الدور الأول 2
10 م3
4000 psi
289.75 ريال للمتر المكعب </t>
  </si>
  <si>
    <t>ماء بارد لصبية أعمدة الدور الأول 1
15 م3
 5.75 ريال لكل متر مكعب</t>
  </si>
  <si>
    <t>أغراض عامة</t>
  </si>
  <si>
    <t>60 كيس اسمنت</t>
  </si>
  <si>
    <t>كماشة لنقل الرمل للطابق الأول</t>
  </si>
  <si>
    <t>رقم الفاتورة</t>
  </si>
  <si>
    <t>رقم الإيصال</t>
  </si>
  <si>
    <t>001090</t>
  </si>
  <si>
    <t>تاريخ الفاتورة</t>
  </si>
  <si>
    <t>فحص التربة - الدفعة الأولى</t>
  </si>
  <si>
    <t>فحص التربة - الدفعة الثانية</t>
  </si>
  <si>
    <t>001079</t>
  </si>
  <si>
    <t>0074</t>
  </si>
  <si>
    <t>S-CR4411</t>
  </si>
  <si>
    <t>S-CR4877</t>
  </si>
  <si>
    <t>S-CR4920</t>
  </si>
  <si>
    <t>S-CR4969</t>
  </si>
  <si>
    <t>04986</t>
  </si>
  <si>
    <t>900 طابوقة 20 سم
طابوق U
100 حبة</t>
  </si>
  <si>
    <t>طابوق - 1000 طابوقة
500 طابوقة 10 سم
500 طابوقة 15 سم</t>
  </si>
  <si>
    <t>10 كيس اسمنت</t>
  </si>
  <si>
    <t>طابوق - 850 طابوقة
150 طابوقة 10 سم
150 طابوقة 15 سم
550 طابوقة 20 سم</t>
  </si>
  <si>
    <t>صبية أعتاب الطابق الأول</t>
  </si>
  <si>
    <t xml:space="preserve">صبية أعتاب الدور الأول
8 م3
4000 psi
289.75 ريال للمتر المكعب </t>
  </si>
  <si>
    <t>توصيل الإسمنت - مرتين</t>
  </si>
  <si>
    <t>طلبية حديد
18 مل = 12 سيخ
16 مل = 4 طن
14 مل = 1.5 طن
12 مل = 1 طن
10 مل = 2 طن
8 مل = 1 طن</t>
  </si>
  <si>
    <t>تركيب الحديد الى الطابق الأول - رافعة</t>
  </si>
  <si>
    <t>شبك صبية 7.5 مل - 1.5 * 4 متر فتحة 20 * 20 سم - 18 * 6
40 حبة</t>
  </si>
  <si>
    <t>S-CR5260</t>
  </si>
  <si>
    <t>S-CR5261</t>
  </si>
  <si>
    <t>طلبية حديد
18 مل = 25 سيخ
16 مل = 1.5 طن
10 مل = 1 طن</t>
  </si>
  <si>
    <t>فلين طول 160 م * عرض 40 سم * ارتفاع 22 سم
80 حبة</t>
  </si>
  <si>
    <t>مصنع الساحل الشرقي</t>
  </si>
  <si>
    <t>8 أكياس اسمنت</t>
  </si>
  <si>
    <t>عمل كماشة لرفع الحديد للطابق الأول</t>
  </si>
  <si>
    <t>صبية سقف الطابق الأول</t>
  </si>
  <si>
    <t>80 متر مكعب ضغط 4000</t>
  </si>
  <si>
    <t>ماء بارد لصبية سقف الدور الأول</t>
  </si>
  <si>
    <t>ماء بارد لصبية سقف الدور الأول
80 م3
 5.75 ريال لكل متر مكعب</t>
  </si>
  <si>
    <t>مجموع الخرسانة + الماء</t>
  </si>
  <si>
    <t>8 متر مكعب ضغط 4000</t>
  </si>
  <si>
    <t>صبية أعمدة الطابق الثاني - السطح</t>
  </si>
  <si>
    <t>ماء بارد لصبية  أعمدة الطابق الثاني - السطح</t>
  </si>
  <si>
    <t xml:space="preserve">صبية سقف الدور الأول
80 م3
4000 psi
289.75 ريال للمتر المكعب </t>
  </si>
  <si>
    <t xml:space="preserve">صبية أعمدة الطابق الثاني - السطح
8 م3
4000 psi
289.75 ريال للمتر المكعب </t>
  </si>
  <si>
    <t>ماء بارد لصبية أعمدة الطابق الثاني - السطح
8 م3
 5.75 ريال لكل متر مكعب</t>
  </si>
  <si>
    <t>طابوق - 2500 طابوقة
1000 طابوقة 10 سم
1000 طابوقة 15 سم
500 طابوقة 20 سم</t>
  </si>
  <si>
    <t xml:space="preserve">صبية ما بعد أعمدة الطابق الثاني - السطح
6 م3
4000 psi
289.75 ريال للمتر المكعب </t>
  </si>
  <si>
    <t>ماء بارد لصبية ما بعد أعمدة الطابق الثاني - السطح
6 م3
 5.75 ريال لكل متر مكعب</t>
  </si>
  <si>
    <t>صبية ما بعد أعمدة الطابق الثاني - السطح</t>
  </si>
  <si>
    <t>ماء بارد لصبية ما بعد أعمدة الطابق الثاني - السطح</t>
  </si>
  <si>
    <t>6 متر مكعب ضغط 4000</t>
  </si>
  <si>
    <t>20 أكياس اسمنت
1 قلاب رمل
1 كماشة</t>
  </si>
  <si>
    <t>طابوق - 1000 طابوقة
250 طابوقة 10 سم
250 طابوقة 15 سم
500 طابوقة 20 سم</t>
  </si>
  <si>
    <t>طابوق - 800 طابوقة
220 طابوقة 10 سم
50 طابوقة 15 سم
530 طابوقة 20 سم</t>
  </si>
  <si>
    <t>شركة أساس الواجهات للصناعة</t>
  </si>
  <si>
    <t>النواقذ والأبواب</t>
  </si>
  <si>
    <t>عقد النوافذ والأبواب - الدفعة الأولى - عند توقيع العقد</t>
  </si>
  <si>
    <t>عقد النوافذ والأبواب - الدفعة الثانية - عند طلب الزجا ج</t>
  </si>
  <si>
    <t>عقد النوافذ والأبواب - الدفعة الثالثة - قبل التركيب</t>
  </si>
  <si>
    <t>صبية أعتاب الملحق - السطح</t>
  </si>
  <si>
    <t xml:space="preserve">صبية أعتاب الملحق - السطح
6 م3
4000 psi
289.75 ريال للمتر المكعب </t>
  </si>
  <si>
    <t>صبية أعتاب الملحق</t>
  </si>
  <si>
    <t>خزان ماء 7000 لتر - تحت الأرض</t>
  </si>
  <si>
    <t>شركة المختار للصناعة</t>
  </si>
  <si>
    <t>خزان</t>
  </si>
  <si>
    <t>طلبية حديد
10 مل = 1.5 طن
12 مل = 0.5 طن
14 مل = 1.5 طن
16 مل = 2 طن</t>
  </si>
  <si>
    <t>حاوية</t>
  </si>
  <si>
    <t>رافعة للحديد crane</t>
  </si>
  <si>
    <t>تأجير كرينات</t>
  </si>
  <si>
    <t>كرين</t>
  </si>
  <si>
    <t>كاش لأنطوني - عن طريق الوالد</t>
  </si>
  <si>
    <t>طلبية حديد
12 مل = 0.25 طن
16 مل = 20 سيخ</t>
  </si>
  <si>
    <t>فلين 200 * 40 * 22
38 حبة
ضغط 20</t>
  </si>
  <si>
    <t>صبية سقف الملحق</t>
  </si>
  <si>
    <t>42 متر مكعب ضغط 4000</t>
  </si>
  <si>
    <t xml:space="preserve">صبية سقف الملحق - السطح
6 م3
4000 psi
289.75 ريال للمتر المكعب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</si>
</sst>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mmmm\ d\,\ yyyy;@"/>
    <numFmt numFmtId="165" formatCode="[$SAR]\ #,##0.00"/>
  </numFmts>
  <fonts count="10" x14ac:knownFonts="1">
    <font>
      <sz val="11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3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30"/>
      <color theme="1"/>
      <name val="Arial"/>
      <family val="2"/>
    </font>
    <font>
      <sz val="14"/>
      <color theme="1"/>
      <name val="Arial"/>
      <family val="2"/>
    </font>
    <font>
      <b/>
      <sz val="2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4"/>
      <color rgb="FF374151"/>
      <name val="Arial"/>
      <family val="2"/>
    </font>
    <font>
      <b/>
      <sz val="7"/>
      <color rgb="FF111827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3">
    <xf numFmtId="0" fontId="0" fillId="0" borderId="0" xfId="0"/>
    <xf numFmtId="0" fontId="1" fillId="0" borderId="1" xfId="0" applyFont="1" applyBorder="1"/>
    <xf numFmtId="0" fontId="1" fillId="0" borderId="0" xfId="0" applyFont="1"/>
    <xf numFmtId="164" fontId="1" fillId="0" borderId="0" xfId="0" applyNumberFormat="1" applyFont="1"/>
    <xf numFmtId="164" fontId="1" fillId="0" borderId="1" xfId="0" applyNumberFormat="1" applyFont="1" applyBorder="1" applyAlignment="1">
      <alignment horizontal="center" vertical="center" readingOrder="2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1" xfId="0" applyFont="1" applyFill="1" applyBorder="1"/>
    <xf numFmtId="0" fontId="3" fillId="2" borderId="1" xfId="0" applyFont="1" applyFill="1" applyBorder="1"/>
    <xf numFmtId="165" fontId="1" fillId="0" borderId="1" xfId="0" applyNumberFormat="1" applyFont="1" applyBorder="1"/>
    <xf numFmtId="164" fontId="1" fillId="4" borderId="1" xfId="0" applyNumberFormat="1" applyFont="1" applyFill="1" applyBorder="1" applyAlignment="1">
      <alignment horizontal="center" vertical="center" readingOrder="2"/>
    </xf>
    <xf numFmtId="164" fontId="2" fillId="0" borderId="0" xfId="0" applyNumberFormat="1" applyFont="1" applyAlignment="1">
      <alignment horizontal="centerContinuous" vertical="distributed"/>
    </xf>
    <xf numFmtId="0" fontId="1" fillId="0" borderId="0" xfId="0" applyFont="1" applyAlignment="1">
      <alignment horizontal="centerContinuous" vertical="distributed"/>
    </xf>
    <xf numFmtId="0" fontId="1" fillId="0" borderId="1" xfId="0" applyFont="1" applyBorder="1" applyAlignment="1">
      <alignment wrapText="1"/>
    </xf>
    <xf numFmtId="164" fontId="1" fillId="4" borderId="2" xfId="0" applyNumberFormat="1" applyFont="1" applyFill="1" applyBorder="1" applyAlignment="1">
      <alignment horizontal="center" vertical="center" readingOrder="2"/>
    </xf>
    <xf numFmtId="0" fontId="1" fillId="4" borderId="3" xfId="0" applyFont="1" applyFill="1" applyBorder="1"/>
    <xf numFmtId="164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  <xf numFmtId="165" fontId="5" fillId="0" borderId="0" xfId="0" applyNumberFormat="1" applyFont="1"/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4" fontId="1" fillId="4" borderId="9" xfId="0" applyNumberFormat="1" applyFont="1" applyFill="1" applyBorder="1" applyAlignment="1">
      <alignment horizontal="center" vertical="center" readingOrder="2"/>
    </xf>
    <xf numFmtId="0" fontId="1" fillId="0" borderId="10" xfId="0" applyFont="1" applyBorder="1"/>
    <xf numFmtId="0" fontId="1" fillId="4" borderId="10" xfId="0" applyFont="1" applyFill="1" applyBorder="1"/>
    <xf numFmtId="165" fontId="1" fillId="0" borderId="10" xfId="0" applyNumberFormat="1" applyFont="1" applyBorder="1"/>
    <xf numFmtId="0" fontId="1" fillId="4" borderId="8" xfId="0" applyFont="1" applyFill="1" applyBorder="1"/>
    <xf numFmtId="0" fontId="5" fillId="4" borderId="0" xfId="0" applyFont="1" applyFill="1"/>
    <xf numFmtId="0" fontId="6" fillId="5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right" wrapText="1"/>
    </xf>
    <xf numFmtId="43" fontId="3" fillId="2" borderId="1" xfId="1" applyFont="1" applyFill="1" applyBorder="1"/>
    <xf numFmtId="39" fontId="1" fillId="0" borderId="1" xfId="1" applyNumberFormat="1" applyFont="1" applyBorder="1"/>
    <xf numFmtId="164" fontId="1" fillId="2" borderId="2" xfId="0" applyNumberFormat="1" applyFont="1" applyFill="1" applyBorder="1" applyAlignment="1">
      <alignment horizontal="center" vertical="center" readingOrder="2"/>
    </xf>
    <xf numFmtId="0" fontId="1" fillId="2" borderId="1" xfId="0" applyFont="1" applyFill="1" applyBorder="1"/>
    <xf numFmtId="39" fontId="1" fillId="2" borderId="1" xfId="1" applyNumberFormat="1" applyFont="1" applyFill="1" applyBorder="1"/>
    <xf numFmtId="0" fontId="1" fillId="2" borderId="3" xfId="0" applyFont="1" applyFill="1" applyBorder="1"/>
    <xf numFmtId="164" fontId="1" fillId="5" borderId="2" xfId="0" applyNumberFormat="1" applyFont="1" applyFill="1" applyBorder="1" applyAlignment="1">
      <alignment horizontal="center" vertical="center" readingOrder="2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/>
    <xf numFmtId="39" fontId="1" fillId="5" borderId="1" xfId="1" applyNumberFormat="1" applyFont="1" applyFill="1" applyBorder="1"/>
    <xf numFmtId="0" fontId="1" fillId="5" borderId="3" xfId="0" applyFont="1" applyFill="1" applyBorder="1"/>
    <xf numFmtId="0" fontId="1" fillId="5" borderId="0" xfId="0" applyFont="1" applyFill="1"/>
    <xf numFmtId="0" fontId="1" fillId="2" borderId="0" xfId="0" applyFont="1" applyFill="1"/>
    <xf numFmtId="43" fontId="1" fillId="0" borderId="0" xfId="0" applyNumberFormat="1" applyFont="1"/>
    <xf numFmtId="165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5" fillId="4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164" fontId="1" fillId="0" borderId="2" xfId="0" applyNumberFormat="1" applyFont="1" applyBorder="1" applyAlignment="1">
      <alignment horizontal="center" vertical="center" readingOrder="2"/>
    </xf>
    <xf numFmtId="0" fontId="1" fillId="0" borderId="3" xfId="0" applyFont="1" applyBorder="1"/>
    <xf numFmtId="0" fontId="8" fillId="0" borderId="0" xfId="0" applyFont="1" applyAlignment="1">
      <alignment vertical="center" wrapText="1"/>
    </xf>
    <xf numFmtId="165" fontId="6" fillId="5" borderId="7" xfId="0" applyNumberFormat="1" applyFont="1" applyFill="1" applyBorder="1" applyAlignment="1">
      <alignment horizontal="center" vertical="center"/>
    </xf>
    <xf numFmtId="165" fontId="6" fillId="2" borderId="7" xfId="0" applyNumberFormat="1" applyFont="1" applyFill="1" applyBorder="1" applyAlignment="1">
      <alignment horizontal="center" vertical="center"/>
    </xf>
    <xf numFmtId="165" fontId="6" fillId="6" borderId="7" xfId="0" applyNumberFormat="1" applyFont="1" applyFill="1" applyBorder="1" applyAlignment="1">
      <alignment horizontal="center" vertical="center"/>
    </xf>
    <xf numFmtId="4" fontId="9" fillId="0" borderId="0" xfId="0" applyNumberFormat="1" applyFont="1"/>
    <xf numFmtId="4" fontId="5" fillId="0" borderId="0" xfId="0" applyNumberFormat="1" applyFont="1"/>
    <xf numFmtId="164" fontId="1" fillId="0" borderId="9" xfId="0" applyNumberFormat="1" applyFont="1" applyBorder="1" applyAlignment="1">
      <alignment horizontal="center" vertical="center" readingOrder="2"/>
    </xf>
    <xf numFmtId="0" fontId="1" fillId="0" borderId="8" xfId="0" applyFont="1" applyBorder="1"/>
    <xf numFmtId="0" fontId="6" fillId="0" borderId="0" xfId="0" applyFont="1" applyAlignment="1">
      <alignment horizontal="center" vertical="center"/>
    </xf>
    <xf numFmtId="2" fontId="1" fillId="0" borderId="1" xfId="0" applyNumberFormat="1" applyFont="1" applyBorder="1"/>
    <xf numFmtId="164" fontId="1" fillId="7" borderId="2" xfId="0" applyNumberFormat="1" applyFont="1" applyFill="1" applyBorder="1" applyAlignment="1">
      <alignment horizontal="center" vertical="center" readingOrder="2"/>
    </xf>
    <xf numFmtId="2" fontId="1" fillId="0" borderId="0" xfId="0" applyNumberFormat="1" applyFont="1"/>
    <xf numFmtId="0" fontId="1" fillId="5" borderId="11" xfId="0" applyFont="1" applyFill="1" applyBorder="1" applyAlignment="1">
      <alignment horizontal="center" vertical="center"/>
    </xf>
    <xf numFmtId="2" fontId="1" fillId="5" borderId="12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right"/>
    </xf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165" fontId="5" fillId="0" borderId="1" xfId="0" quotePrefix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4" fontId="4" fillId="0" borderId="0" xfId="0" applyNumberFormat="1" applyFont="1" applyAlignment="1">
      <alignment horizontal="center" vertical="distributed"/>
    </xf>
    <xf numFmtId="0" fontId="1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164" formatCode="[$-409]mmmm\ d\,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164" formatCode="[$-409]mmmm\ d\,\ 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165" formatCode="[$SAR]\ 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164" formatCode="[$-409]mmmm\ d\,\ 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164" formatCode="[$-409]mmmm\ d\,\ 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65" formatCode="[$SAR]\ #,##0.00"/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64" formatCode="[$-409]mmmm\ d\,\ yyyy;@"/>
      <alignment horizontal="center"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7" formatCode="#,##0.00_);\(#,##0.00\)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164" formatCode="[$-409]mmmm\ d\,\ 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B48DBA-1A03-4B0D-8129-911F1B46E872}" name="Table1" displayName="Table1" ref="A4:P187" totalsRowShown="0" headerRowDxfId="56" dataDxfId="55">
  <autoFilter ref="A4:P187" xr:uid="{02B48DBA-1A03-4B0D-8129-911F1B46E872}"/>
  <tableColumns count="16">
    <tableColumn id="1" xr3:uid="{07A54FC1-E751-434C-8E2B-321DF3B580E1}" name="التاريخ" dataDxfId="54"/>
    <tableColumn id="2" xr3:uid="{402B6DF9-6739-4D62-9596-2B3A39BA29DE}" name="الوصف" dataDxfId="53"/>
    <tableColumn id="3" xr3:uid="{FCB68F3B-EEA1-46CF-BD16-05D2C1939B7B}" name="مقدم الخدمة" dataDxfId="52"/>
    <tableColumn id="4" xr3:uid="{AE62FF12-5EC7-42C8-B465-17C68ECF8C2D}" name="حالة_x000a_الدفع" dataDxfId="51"/>
    <tableColumn id="5" xr3:uid="{87AEB299-FEF0-4CF5-BD4F-F9C69D3307A7}" name="الفئة" dataDxfId="50"/>
    <tableColumn id="6" xr3:uid="{B2541444-6A5B-42F3-949C-C5359CCBD329}" name="الفئة الفرعية" dataDxfId="49"/>
    <tableColumn id="15" xr3:uid="{82EA7C7D-0C67-4887-B6A8-402CDA55A647}" name="ملاحظات" dataDxfId="48"/>
    <tableColumn id="7" xr3:uid="{E074F215-B52E-4D45-9A23-DA5CDDE7C0CF}" name="مرحلة_x000a_المشروع" dataDxfId="47"/>
    <tableColumn id="8" xr3:uid="{F06C5177-CF23-4BD3-B7ED-5E915E18DC05}" name="المبلغ" dataDxfId="46"/>
    <tableColumn id="9" xr3:uid="{4BCCE1DF-1A85-4D03-8CBB-019C58994A70}" name="طريقة الدفع" dataDxfId="45"/>
    <tableColumn id="12" xr3:uid="{320317BA-FD1B-4E35-8D81-32509A4F12DE}" name="المرحلة" dataDxfId="44"/>
    <tableColumn id="10" xr3:uid="{B99DAC93-2167-4F0E-82D8-97285F4566BA}" name="معلومات إضافية" dataDxfId="43"/>
    <tableColumn id="14" xr3:uid="{8F959CCA-48DB-402A-9255-7F322EE2CA0B}" name="رقم الفاتورة" dataDxfId="42"/>
    <tableColumn id="17" xr3:uid="{4FE57211-8361-4501-AF72-22E61AF5A715}" name="تاريخ الفاتورة" dataDxfId="41"/>
    <tableColumn id="16" xr3:uid="{CC8A9146-29A9-4E23-AE27-7C8EB38D911E}" name="رقم الإيصال" dataDxfId="40"/>
    <tableColumn id="11" xr3:uid="{F537A71F-123F-465F-AF1B-33CCE9A48BE3}" name="تأكيد كل_x000a_المعلومات؟" dataDxfId="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318608-A09B-4C77-8475-BD71FC4A76FC}" name="Table83" displayName="Table83" ref="A5:I52" totalsRowShown="0" headerRowDxfId="68" headerRowBorderDxfId="67" tableBorderDxfId="66" totalsRowBorderDxfId="65">
  <autoFilter ref="A5:I52" xr:uid="{615B29AD-44AA-4E0F-B32F-775BD7BF82DA}"/>
  <tableColumns count="9">
    <tableColumn id="1" xr3:uid="{ABEF013E-56A4-4180-B2C2-A91270EAEE92}" name="التاريخ" dataDxfId="64"/>
    <tableColumn id="2" xr3:uid="{CB6736E8-D700-4761-AB4D-4F1DBAE466E8}" name="الوصف 1" dataDxfId="63"/>
    <tableColumn id="9" xr3:uid="{AA00683B-C85A-43C6-9B5C-82FB91C4723B}" name="الوصف 2"/>
    <tableColumn id="3" xr3:uid="{170520CC-5126-4EAA-95F3-5AB95979DDBC}" name="مدفوع/_x000a_مستقبلي" dataDxfId="62"/>
    <tableColumn id="7" xr3:uid="{A35C88EB-D15C-4726-A380-5CB7B5DB4B04}" name="سعر المتر" dataDxfId="61"/>
    <tableColumn id="4" xr3:uid="{346145C5-7CAD-4E7E-9EF9-7AA2239D664F}" name="الكمية" dataDxfId="60"/>
    <tableColumn id="5" xr3:uid="{B9B1C494-1E57-4070-B1E3-1014891F0F18}" name="المبلغ" dataDxfId="59" dataCellStyle="Comma">
      <calculatedColumnFormula>Table83[[#This Row],[سعر المتر]]*Table83[[#This Row],[الكمية]]</calculatedColumnFormula>
    </tableColumn>
    <tableColumn id="6" xr3:uid="{2B78F980-B8DB-4209-A5E9-560DBFF9B9E0}" name="ملاحظات" dataDxfId="58"/>
    <tableColumn id="8" xr3:uid="{05ED29B8-80F0-4172-A2C7-9DCFF8BC9459}" name="Column1" dataDxfId="5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0B7A8D-63CC-4750-BD97-560212B34A61}" name="Table834" displayName="Table834" ref="A5:F19" totalsRowShown="0" headerRowDxfId="38" headerRowBorderDxfId="37" tableBorderDxfId="36" totalsRowBorderDxfId="35">
  <autoFilter ref="A5:F19" xr:uid="{615B29AD-44AA-4E0F-B32F-775BD7BF82DA}"/>
  <tableColumns count="6">
    <tableColumn id="1" xr3:uid="{A2ED35FB-72EA-43B5-BF42-B54B3A6FF648}" name="التاريخ" dataDxfId="34"/>
    <tableColumn id="2" xr3:uid="{A5A0DFDB-C34E-46B4-BC1B-75AB9625900A}" name="الوصف 1" dataDxfId="33"/>
    <tableColumn id="9" xr3:uid="{FA44EA4A-AA0E-4B63-84D8-E66BF9B62017}" name="الوصف 2"/>
    <tableColumn id="3" xr3:uid="{340ADB91-0D45-4210-944C-F6F885FC92EB}" name="مدفوع/_x000a_مستقبلي" dataDxfId="32"/>
    <tableColumn id="7" xr3:uid="{F6575A4D-AB2D-470E-A865-451282CCB0BA}" name="المبلغ" dataDxfId="31"/>
    <tableColumn id="6" xr3:uid="{72196357-39D5-4212-83F1-D509B6ECFA31}" name="ملاحظات" dataDxf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15B29AD-44AA-4E0F-B32F-775BD7BF82DA}" name="Table8" displayName="Table8" ref="A5:F8" totalsRowShown="0" headerRowDxfId="29" headerRowBorderDxfId="28" tableBorderDxfId="27" totalsRowBorderDxfId="26">
  <autoFilter ref="A5:F8" xr:uid="{615B29AD-44AA-4E0F-B32F-775BD7BF82DA}"/>
  <tableColumns count="6">
    <tableColumn id="1" xr3:uid="{66DF89D3-CDA9-42F2-8C29-C3D8CD0D990D}" name="التاريخ" dataDxfId="25"/>
    <tableColumn id="2" xr3:uid="{69C9A3ED-A45E-4F48-ADA5-24EA13BD5D1A}" name="الوصف" dataDxfId="24"/>
    <tableColumn id="3" xr3:uid="{7F17224A-A500-4F4F-A0BD-09CB80EEC9BB}" name="مدفوع/_x000a_مستقبلي" dataDxfId="23"/>
    <tableColumn id="4" xr3:uid="{E277BFF2-7190-4B59-B81C-C3FC53FE967C}" name="نوع_x000a_ التكلفة" dataDxfId="22"/>
    <tableColumn id="5" xr3:uid="{0E571E3D-2397-4DE6-9D28-D71129BE1051}" name="المبلغ" dataDxfId="21"/>
    <tableColumn id="6" xr3:uid="{18F063E1-E71E-45AE-9A58-173A5FFCF635}" name="ملاحظات" dataDxfId="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9E0BD3-F613-41B4-AF4E-683701295167}" name="Table8345" displayName="Table8345" ref="A5:F19" totalsRowShown="0" headerRowDxfId="19" headerRowBorderDxfId="18" tableBorderDxfId="17" totalsRowBorderDxfId="16">
  <autoFilter ref="A5:F19" xr:uid="{615B29AD-44AA-4E0F-B32F-775BD7BF82DA}"/>
  <tableColumns count="6">
    <tableColumn id="1" xr3:uid="{0A0CF439-08AD-4946-B767-19137904ED78}" name="التاريخ" dataDxfId="15"/>
    <tableColumn id="2" xr3:uid="{2572C2F5-37DA-45BB-8C79-FBA9FDF46C1B}" name="الوصف 1" dataDxfId="14"/>
    <tableColumn id="9" xr3:uid="{D4C7969E-B954-424F-914F-08B25D93F629}" name="الوصف 2"/>
    <tableColumn id="3" xr3:uid="{B9500CC9-A401-4641-8FB3-AE9879418B7A}" name="مدفوع/_x000a_مستقبلي" dataDxfId="13"/>
    <tableColumn id="7" xr3:uid="{16FC4E0B-00B2-48C5-B9FA-56978D7CAE29}" name="المبلغ" dataDxfId="12"/>
    <tableColumn id="6" xr3:uid="{5800A1CC-8869-4288-A1A8-DB967B528C8F}" name="ملاحظات" dataDxf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49BA7E-8DA0-46D2-BBB4-E84736D9EA9D}" name="Table83456" displayName="Table83456" ref="A30:F44" totalsRowShown="0" headerRowDxfId="10" dataDxfId="8" headerRowBorderDxfId="9" tableBorderDxfId="7" totalsRowBorderDxfId="6">
  <autoFilter ref="A30:F44" xr:uid="{3B49BA7E-8DA0-46D2-BBB4-E84736D9EA9D}"/>
  <tableColumns count="6">
    <tableColumn id="1" xr3:uid="{6040F97F-DEB9-4EA6-A8D1-4632B30EE94B}" name="الوصف" dataDxfId="5"/>
    <tableColumn id="2" xr3:uid="{A3CEF744-1096-4EAF-97CA-8BE814638432}" name="الكمية" dataDxfId="4"/>
    <tableColumn id="9" xr3:uid="{ED1CBE27-8A88-453A-9906-A0BB32BE0D5C}" name="السعر - ريال" dataDxfId="3"/>
    <tableColumn id="3" xr3:uid="{E409890E-D5B6-4F2C-834C-30A2D3154940}" name="القيمة المضافة" dataDxfId="2">
      <calculatedColumnFormula>Table83456[[#This Row],[الكمية]]*Table83456[[#This Row],[السعر - ريال]]</calculatedColumnFormula>
    </tableColumn>
    <tableColumn id="7" xr3:uid="{FB5F5505-F026-436E-AE26-D076E040E47C}" name="المبلغ شامل القيمة المضافة" dataDxfId="1">
      <calculatedColumnFormula>Table83456[[#This Row],[القيمة المضافة]]*1.15</calculatedColumnFormula>
    </tableColumn>
    <tableColumn id="6" xr3:uid="{6E60D990-C5D3-4B1B-B14B-B96E0A510DA2}" name="ملاحظات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AB583-00B0-4E1F-8550-C73216860618}">
  <sheetPr codeName="Sheet1"/>
  <dimension ref="A2:P196"/>
  <sheetViews>
    <sheetView rightToLeft="1" tabSelected="1" topLeftCell="D154" zoomScale="85" zoomScaleNormal="85" workbookViewId="0">
      <selection activeCell="G164" sqref="G164"/>
    </sheetView>
  </sheetViews>
  <sheetFormatPr defaultColWidth="8.81640625" defaultRowHeight="17.5" x14ac:dyDescent="0.35"/>
  <cols>
    <col min="1" max="1" width="25.1796875" style="22" bestFit="1" customWidth="1"/>
    <col min="2" max="2" width="135.81640625" style="58" bestFit="1" customWidth="1"/>
    <col min="3" max="3" width="39.36328125" style="21" bestFit="1" customWidth="1"/>
    <col min="4" max="4" width="7.6328125" style="21" bestFit="1" customWidth="1"/>
    <col min="5" max="6" width="19.90625" style="21" bestFit="1" customWidth="1"/>
    <col min="7" max="7" width="43" style="21" bestFit="1" customWidth="1"/>
    <col min="8" max="8" width="32.6328125" style="21" bestFit="1" customWidth="1"/>
    <col min="9" max="9" width="20.54296875" style="23" bestFit="1" customWidth="1"/>
    <col min="10" max="10" width="12.453125" style="21" bestFit="1" customWidth="1"/>
    <col min="11" max="11" width="11.90625" style="21" bestFit="1" customWidth="1"/>
    <col min="12" max="12" width="36.36328125" style="21" bestFit="1" customWidth="1"/>
    <col min="13" max="13" width="13.453125" style="21" bestFit="1" customWidth="1"/>
    <col min="14" max="14" width="19.54296875" style="21" bestFit="1" customWidth="1"/>
    <col min="15" max="15" width="11.08984375" style="21" bestFit="1" customWidth="1"/>
    <col min="16" max="16" width="10.453125" style="21" bestFit="1" customWidth="1"/>
    <col min="17" max="17" width="8.81640625" style="21"/>
    <col min="18" max="18" width="6.90625" style="21" bestFit="1" customWidth="1"/>
    <col min="19" max="16384" width="8.81640625" style="21"/>
  </cols>
  <sheetData>
    <row r="2" spans="1:16" ht="37.5" x14ac:dyDescent="0.35">
      <c r="A2" s="91" t="s">
        <v>0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4" spans="1:16" s="25" customFormat="1" ht="35" x14ac:dyDescent="0.35">
      <c r="A4" s="24" t="s">
        <v>1</v>
      </c>
      <c r="B4" s="58" t="s">
        <v>2</v>
      </c>
      <c r="C4" s="25" t="s">
        <v>3</v>
      </c>
      <c r="D4" s="27" t="s">
        <v>91</v>
      </c>
      <c r="E4" s="25" t="s">
        <v>48</v>
      </c>
      <c r="F4" s="25" t="s">
        <v>49</v>
      </c>
      <c r="G4" s="25" t="s">
        <v>7</v>
      </c>
      <c r="H4" s="27" t="s">
        <v>90</v>
      </c>
      <c r="I4" s="26" t="s">
        <v>6</v>
      </c>
      <c r="J4" s="25" t="s">
        <v>52</v>
      </c>
      <c r="K4" s="25" t="s">
        <v>233</v>
      </c>
      <c r="L4" s="25" t="s">
        <v>237</v>
      </c>
      <c r="M4" s="25" t="s">
        <v>299</v>
      </c>
      <c r="N4" s="25" t="s">
        <v>302</v>
      </c>
      <c r="O4" s="25" t="s">
        <v>300</v>
      </c>
      <c r="P4" s="27" t="s">
        <v>89</v>
      </c>
    </row>
    <row r="5" spans="1:16" x14ac:dyDescent="0.35">
      <c r="A5" s="78">
        <v>45302</v>
      </c>
      <c r="B5" s="82" t="s">
        <v>8</v>
      </c>
      <c r="C5" s="80" t="s">
        <v>95</v>
      </c>
      <c r="D5" s="80" t="s">
        <v>9</v>
      </c>
      <c r="E5" s="80" t="s">
        <v>65</v>
      </c>
      <c r="F5" s="80" t="s">
        <v>66</v>
      </c>
      <c r="G5" s="80"/>
      <c r="H5" s="80" t="s">
        <v>51</v>
      </c>
      <c r="I5" s="81">
        <f>428000+320000</f>
        <v>748000</v>
      </c>
      <c r="J5" s="80" t="s">
        <v>53</v>
      </c>
      <c r="K5" s="80" t="s">
        <v>234</v>
      </c>
      <c r="L5" s="80"/>
      <c r="M5" s="80"/>
      <c r="N5" s="78"/>
      <c r="O5" s="80"/>
      <c r="P5" s="80" t="s">
        <v>10</v>
      </c>
    </row>
    <row r="6" spans="1:16" x14ac:dyDescent="0.35">
      <c r="A6" s="78">
        <v>45448</v>
      </c>
      <c r="B6" s="82" t="s">
        <v>11</v>
      </c>
      <c r="C6" s="80" t="s">
        <v>34</v>
      </c>
      <c r="D6" s="80" t="s">
        <v>9</v>
      </c>
      <c r="E6" s="80" t="s">
        <v>63</v>
      </c>
      <c r="F6" s="80" t="s">
        <v>50</v>
      </c>
      <c r="G6" s="80"/>
      <c r="H6" s="80" t="s">
        <v>51</v>
      </c>
      <c r="I6" s="81">
        <v>14728.19</v>
      </c>
      <c r="J6" s="80" t="s">
        <v>56</v>
      </c>
      <c r="K6" s="80" t="s">
        <v>234</v>
      </c>
      <c r="L6" s="80" t="s">
        <v>12</v>
      </c>
      <c r="M6" s="80"/>
      <c r="N6" s="80"/>
      <c r="O6" s="80"/>
      <c r="P6" s="80" t="s">
        <v>10</v>
      </c>
    </row>
    <row r="7" spans="1:16" x14ac:dyDescent="0.35">
      <c r="A7" s="78">
        <v>45475</v>
      </c>
      <c r="B7" s="82" t="s">
        <v>303</v>
      </c>
      <c r="C7" s="80" t="s">
        <v>22</v>
      </c>
      <c r="D7" s="80" t="s">
        <v>9</v>
      </c>
      <c r="E7" s="80" t="s">
        <v>244</v>
      </c>
      <c r="F7" s="80" t="s">
        <v>244</v>
      </c>
      <c r="G7" s="80" t="s">
        <v>67</v>
      </c>
      <c r="H7" s="80" t="s">
        <v>51</v>
      </c>
      <c r="I7" s="81">
        <v>2100</v>
      </c>
      <c r="J7" s="80" t="s">
        <v>53</v>
      </c>
      <c r="K7" s="80" t="s">
        <v>234</v>
      </c>
      <c r="L7" s="80" t="s">
        <v>60</v>
      </c>
      <c r="M7" s="83" t="s">
        <v>305</v>
      </c>
      <c r="N7" s="78">
        <v>45471</v>
      </c>
      <c r="O7" s="80"/>
      <c r="P7" s="80" t="s">
        <v>10</v>
      </c>
    </row>
    <row r="8" spans="1:16" x14ac:dyDescent="0.35">
      <c r="A8" s="78">
        <v>45475</v>
      </c>
      <c r="B8" s="82" t="s">
        <v>304</v>
      </c>
      <c r="C8" s="80" t="s">
        <v>22</v>
      </c>
      <c r="D8" s="80" t="s">
        <v>9</v>
      </c>
      <c r="E8" s="80" t="s">
        <v>244</v>
      </c>
      <c r="F8" s="80" t="s">
        <v>244</v>
      </c>
      <c r="G8" s="80" t="s">
        <v>67</v>
      </c>
      <c r="H8" s="80" t="s">
        <v>51</v>
      </c>
      <c r="I8" s="81">
        <v>2100</v>
      </c>
      <c r="J8" s="80" t="s">
        <v>53</v>
      </c>
      <c r="K8" s="80" t="s">
        <v>234</v>
      </c>
      <c r="L8" s="80" t="s">
        <v>60</v>
      </c>
      <c r="M8" s="83" t="s">
        <v>301</v>
      </c>
      <c r="N8" s="78">
        <v>45474</v>
      </c>
      <c r="O8" s="80"/>
      <c r="P8" s="80" t="s">
        <v>10</v>
      </c>
    </row>
    <row r="9" spans="1:16" x14ac:dyDescent="0.35">
      <c r="A9" s="78">
        <v>45538</v>
      </c>
      <c r="B9" s="82" t="s">
        <v>13</v>
      </c>
      <c r="C9" s="80" t="s">
        <v>34</v>
      </c>
      <c r="D9" s="80" t="s">
        <v>9</v>
      </c>
      <c r="E9" s="80" t="s">
        <v>63</v>
      </c>
      <c r="F9" s="80" t="s">
        <v>50</v>
      </c>
      <c r="G9" s="80"/>
      <c r="H9" s="80" t="s">
        <v>51</v>
      </c>
      <c r="I9" s="81">
        <v>10536.87</v>
      </c>
      <c r="J9" s="80" t="s">
        <v>56</v>
      </c>
      <c r="K9" s="80" t="s">
        <v>234</v>
      </c>
      <c r="L9" s="80" t="s">
        <v>14</v>
      </c>
      <c r="M9" s="80"/>
      <c r="N9" s="80"/>
      <c r="O9" s="80"/>
      <c r="P9" s="80" t="s">
        <v>10</v>
      </c>
    </row>
    <row r="10" spans="1:16" x14ac:dyDescent="0.35">
      <c r="A10" s="78">
        <v>45543</v>
      </c>
      <c r="B10" s="82" t="s">
        <v>15</v>
      </c>
      <c r="C10" s="80" t="s">
        <v>34</v>
      </c>
      <c r="D10" s="80" t="s">
        <v>9</v>
      </c>
      <c r="E10" s="80" t="s">
        <v>63</v>
      </c>
      <c r="F10" s="80" t="s">
        <v>50</v>
      </c>
      <c r="G10" s="80" t="s">
        <v>64</v>
      </c>
      <c r="H10" s="80" t="s">
        <v>51</v>
      </c>
      <c r="I10" s="81">
        <v>3687.97</v>
      </c>
      <c r="J10" s="80" t="s">
        <v>56</v>
      </c>
      <c r="K10" s="80" t="s">
        <v>234</v>
      </c>
      <c r="L10" s="80" t="s">
        <v>16</v>
      </c>
      <c r="M10" s="80"/>
      <c r="N10" s="80"/>
      <c r="O10" s="80"/>
      <c r="P10" s="80" t="s">
        <v>10</v>
      </c>
    </row>
    <row r="11" spans="1:16" ht="35" x14ac:dyDescent="0.35">
      <c r="A11" s="78">
        <v>45683</v>
      </c>
      <c r="B11" s="82" t="s">
        <v>17</v>
      </c>
      <c r="C11" s="84" t="s">
        <v>35</v>
      </c>
      <c r="D11" s="80" t="s">
        <v>9</v>
      </c>
      <c r="E11" s="80" t="s">
        <v>244</v>
      </c>
      <c r="F11" s="80" t="s">
        <v>244</v>
      </c>
      <c r="G11" s="80" t="s">
        <v>68</v>
      </c>
      <c r="H11" s="80" t="s">
        <v>51</v>
      </c>
      <c r="I11" s="81">
        <v>690</v>
      </c>
      <c r="J11" s="80" t="s">
        <v>53</v>
      </c>
      <c r="K11" s="80" t="s">
        <v>234</v>
      </c>
      <c r="L11" s="80" t="s">
        <v>55</v>
      </c>
      <c r="M11" s="80"/>
      <c r="N11" s="80"/>
      <c r="O11" s="80"/>
      <c r="P11" s="80" t="s">
        <v>10</v>
      </c>
    </row>
    <row r="12" spans="1:16" ht="35" x14ac:dyDescent="0.35">
      <c r="A12" s="78">
        <v>45684</v>
      </c>
      <c r="B12" s="82" t="s">
        <v>18</v>
      </c>
      <c r="C12" s="84" t="s">
        <v>35</v>
      </c>
      <c r="D12" s="80" t="s">
        <v>9</v>
      </c>
      <c r="E12" s="80" t="s">
        <v>244</v>
      </c>
      <c r="F12" s="80" t="s">
        <v>244</v>
      </c>
      <c r="G12" s="80" t="s">
        <v>69</v>
      </c>
      <c r="H12" s="80" t="s">
        <v>51</v>
      </c>
      <c r="I12" s="81">
        <v>575</v>
      </c>
      <c r="J12" s="80" t="s">
        <v>53</v>
      </c>
      <c r="K12" s="80" t="s">
        <v>234</v>
      </c>
      <c r="L12" s="80" t="s">
        <v>55</v>
      </c>
      <c r="M12" s="80"/>
      <c r="N12" s="80"/>
      <c r="O12" s="80"/>
      <c r="P12" s="80" t="s">
        <v>10</v>
      </c>
    </row>
    <row r="13" spans="1:16" x14ac:dyDescent="0.35">
      <c r="A13" s="78">
        <v>45768</v>
      </c>
      <c r="B13" s="82" t="s">
        <v>36</v>
      </c>
      <c r="C13" s="80" t="s">
        <v>21</v>
      </c>
      <c r="D13" s="80" t="s">
        <v>9</v>
      </c>
      <c r="E13" s="80" t="s">
        <v>244</v>
      </c>
      <c r="F13" s="80" t="s">
        <v>244</v>
      </c>
      <c r="G13" s="80" t="s">
        <v>70</v>
      </c>
      <c r="H13" s="80" t="s">
        <v>51</v>
      </c>
      <c r="I13" s="81">
        <v>20</v>
      </c>
      <c r="J13" s="80" t="s">
        <v>54</v>
      </c>
      <c r="K13" s="80" t="s">
        <v>234</v>
      </c>
      <c r="L13" s="80" t="s">
        <v>57</v>
      </c>
      <c r="M13" s="80"/>
      <c r="N13" s="80"/>
      <c r="O13" s="80"/>
      <c r="P13" s="80" t="s">
        <v>10</v>
      </c>
    </row>
    <row r="14" spans="1:16" x14ac:dyDescent="0.35">
      <c r="A14" s="78">
        <v>45943</v>
      </c>
      <c r="B14" s="82" t="s">
        <v>19</v>
      </c>
      <c r="C14" s="80" t="s">
        <v>84</v>
      </c>
      <c r="D14" s="80" t="s">
        <v>9</v>
      </c>
      <c r="E14" s="80" t="s">
        <v>244</v>
      </c>
      <c r="F14" s="80" t="s">
        <v>244</v>
      </c>
      <c r="G14" s="80" t="s">
        <v>71</v>
      </c>
      <c r="H14" s="80" t="s">
        <v>51</v>
      </c>
      <c r="I14" s="81">
        <v>2875</v>
      </c>
      <c r="J14" s="80" t="s">
        <v>53</v>
      </c>
      <c r="K14" s="80" t="s">
        <v>234</v>
      </c>
      <c r="L14" s="80" t="s">
        <v>55</v>
      </c>
      <c r="M14" s="80"/>
      <c r="N14" s="80"/>
      <c r="O14" s="80"/>
      <c r="P14" s="80" t="s">
        <v>10</v>
      </c>
    </row>
    <row r="15" spans="1:16" x14ac:dyDescent="0.35">
      <c r="A15" s="78">
        <v>46012</v>
      </c>
      <c r="B15" s="82" t="s">
        <v>96</v>
      </c>
      <c r="C15" s="80" t="s">
        <v>27</v>
      </c>
      <c r="D15" s="80" t="s">
        <v>9</v>
      </c>
      <c r="E15" s="80" t="s">
        <v>72</v>
      </c>
      <c r="F15" s="80" t="s">
        <v>73</v>
      </c>
      <c r="G15" s="80"/>
      <c r="H15" s="80" t="s">
        <v>51</v>
      </c>
      <c r="I15" s="81">
        <v>10000</v>
      </c>
      <c r="J15" s="80" t="s">
        <v>53</v>
      </c>
      <c r="K15" s="80" t="s">
        <v>234</v>
      </c>
      <c r="L15" s="80" t="s">
        <v>58</v>
      </c>
      <c r="M15" s="80"/>
      <c r="N15" s="80"/>
      <c r="O15" s="80"/>
      <c r="P15" s="80" t="s">
        <v>10</v>
      </c>
    </row>
    <row r="16" spans="1:16" x14ac:dyDescent="0.35">
      <c r="A16" s="78">
        <v>46014</v>
      </c>
      <c r="B16" s="82" t="s">
        <v>20</v>
      </c>
      <c r="C16" s="80" t="s">
        <v>21</v>
      </c>
      <c r="D16" s="80" t="s">
        <v>9</v>
      </c>
      <c r="E16" s="80" t="s">
        <v>244</v>
      </c>
      <c r="F16" s="80" t="s">
        <v>244</v>
      </c>
      <c r="G16" s="80" t="s">
        <v>74</v>
      </c>
      <c r="H16" s="80" t="s">
        <v>51</v>
      </c>
      <c r="I16" s="81">
        <v>1439</v>
      </c>
      <c r="J16" s="80" t="s">
        <v>54</v>
      </c>
      <c r="K16" s="80" t="s">
        <v>234</v>
      </c>
      <c r="L16" s="80" t="s">
        <v>57</v>
      </c>
      <c r="M16" s="80"/>
      <c r="N16" s="80"/>
      <c r="O16" s="80"/>
      <c r="P16" s="80" t="s">
        <v>10</v>
      </c>
    </row>
    <row r="17" spans="1:16" ht="175" x14ac:dyDescent="0.35">
      <c r="A17" s="78">
        <v>46014</v>
      </c>
      <c r="B17" s="79" t="s">
        <v>113</v>
      </c>
      <c r="C17" s="80" t="s">
        <v>23</v>
      </c>
      <c r="D17" s="80" t="s">
        <v>9</v>
      </c>
      <c r="E17" s="80" t="s">
        <v>75</v>
      </c>
      <c r="F17" s="80" t="s">
        <v>76</v>
      </c>
      <c r="G17" s="80"/>
      <c r="H17" s="80" t="s">
        <v>51</v>
      </c>
      <c r="I17" s="81">
        <v>13252.31</v>
      </c>
      <c r="J17" s="80" t="s">
        <v>54</v>
      </c>
      <c r="K17" s="80" t="s">
        <v>234</v>
      </c>
      <c r="L17" s="80" t="s">
        <v>57</v>
      </c>
      <c r="M17" s="80"/>
      <c r="N17" s="80"/>
      <c r="O17" s="80"/>
      <c r="P17" s="80" t="s">
        <v>10</v>
      </c>
    </row>
    <row r="18" spans="1:16" x14ac:dyDescent="0.35">
      <c r="A18" s="78">
        <v>46014</v>
      </c>
      <c r="B18" s="82" t="s">
        <v>24</v>
      </c>
      <c r="C18" s="80" t="s">
        <v>25</v>
      </c>
      <c r="D18" s="80" t="s">
        <v>9</v>
      </c>
      <c r="E18" s="80" t="s">
        <v>77</v>
      </c>
      <c r="F18" s="80" t="s">
        <v>109</v>
      </c>
      <c r="G18" s="80"/>
      <c r="H18" s="80" t="s">
        <v>51</v>
      </c>
      <c r="I18" s="81">
        <v>4025</v>
      </c>
      <c r="J18" s="80" t="s">
        <v>53</v>
      </c>
      <c r="K18" s="80" t="s">
        <v>234</v>
      </c>
      <c r="L18" s="80" t="s">
        <v>154</v>
      </c>
      <c r="M18" s="80"/>
      <c r="N18" s="80"/>
      <c r="O18" s="80"/>
      <c r="P18" s="80" t="s">
        <v>10</v>
      </c>
    </row>
    <row r="19" spans="1:16" x14ac:dyDescent="0.35">
      <c r="A19" s="78">
        <v>46019</v>
      </c>
      <c r="B19" s="82" t="s">
        <v>28</v>
      </c>
      <c r="C19" s="80" t="s">
        <v>29</v>
      </c>
      <c r="D19" s="80" t="s">
        <v>9</v>
      </c>
      <c r="E19" s="80" t="s">
        <v>79</v>
      </c>
      <c r="F19" s="80" t="s">
        <v>125</v>
      </c>
      <c r="G19" s="80" t="s">
        <v>78</v>
      </c>
      <c r="H19" s="80" t="s">
        <v>51</v>
      </c>
      <c r="I19" s="81">
        <v>500</v>
      </c>
      <c r="J19" s="80" t="s">
        <v>53</v>
      </c>
      <c r="K19" s="80" t="s">
        <v>234</v>
      </c>
      <c r="L19" s="80" t="s">
        <v>58</v>
      </c>
      <c r="M19" s="80"/>
      <c r="N19" s="80"/>
      <c r="O19" s="80"/>
      <c r="P19" s="80" t="s">
        <v>10</v>
      </c>
    </row>
    <row r="20" spans="1:16" x14ac:dyDescent="0.35">
      <c r="A20" s="78">
        <v>46019</v>
      </c>
      <c r="B20" s="82" t="s">
        <v>30</v>
      </c>
      <c r="C20" s="80" t="s">
        <v>29</v>
      </c>
      <c r="D20" s="80" t="s">
        <v>9</v>
      </c>
      <c r="E20" s="80" t="s">
        <v>79</v>
      </c>
      <c r="F20" s="80" t="s">
        <v>125</v>
      </c>
      <c r="G20" s="80" t="s">
        <v>78</v>
      </c>
      <c r="H20" s="80" t="s">
        <v>51</v>
      </c>
      <c r="I20" s="81">
        <v>500</v>
      </c>
      <c r="J20" s="80" t="s">
        <v>53</v>
      </c>
      <c r="K20" s="80" t="s">
        <v>234</v>
      </c>
      <c r="L20" s="80" t="s">
        <v>60</v>
      </c>
      <c r="M20" s="80"/>
      <c r="N20" s="80"/>
      <c r="O20" s="80"/>
      <c r="P20" s="80" t="s">
        <v>10</v>
      </c>
    </row>
    <row r="21" spans="1:16" x14ac:dyDescent="0.35">
      <c r="A21" s="78">
        <v>46019</v>
      </c>
      <c r="B21" s="82" t="s">
        <v>33</v>
      </c>
      <c r="C21" s="80" t="s">
        <v>166</v>
      </c>
      <c r="D21" s="80" t="s">
        <v>9</v>
      </c>
      <c r="E21" s="80" t="s">
        <v>79</v>
      </c>
      <c r="F21" s="80" t="s">
        <v>80</v>
      </c>
      <c r="G21" s="80"/>
      <c r="H21" s="80" t="s">
        <v>51</v>
      </c>
      <c r="I21" s="81">
        <v>10000</v>
      </c>
      <c r="J21" s="80" t="s">
        <v>53</v>
      </c>
      <c r="K21" s="80" t="s">
        <v>234</v>
      </c>
      <c r="L21" s="80" t="s">
        <v>61</v>
      </c>
      <c r="M21" s="80"/>
      <c r="N21" s="80"/>
      <c r="O21" s="80"/>
      <c r="P21" s="80" t="s">
        <v>10</v>
      </c>
    </row>
    <row r="22" spans="1:16" x14ac:dyDescent="0.35">
      <c r="A22" s="78">
        <v>46019</v>
      </c>
      <c r="B22" s="79" t="s">
        <v>85</v>
      </c>
      <c r="C22" s="80" t="s">
        <v>32</v>
      </c>
      <c r="D22" s="80" t="s">
        <v>9</v>
      </c>
      <c r="E22" s="80" t="s">
        <v>79</v>
      </c>
      <c r="F22" s="80" t="s">
        <v>125</v>
      </c>
      <c r="G22" s="80" t="s">
        <v>83</v>
      </c>
      <c r="H22" s="80" t="s">
        <v>51</v>
      </c>
      <c r="I22" s="81">
        <v>575</v>
      </c>
      <c r="J22" s="80" t="s">
        <v>53</v>
      </c>
      <c r="K22" s="80" t="s">
        <v>234</v>
      </c>
      <c r="L22" s="80" t="s">
        <v>59</v>
      </c>
      <c r="M22" s="80"/>
      <c r="N22" s="80"/>
      <c r="O22" s="80"/>
      <c r="P22" s="80" t="s">
        <v>10</v>
      </c>
    </row>
    <row r="23" spans="1:16" x14ac:dyDescent="0.35">
      <c r="A23" s="78">
        <v>46022</v>
      </c>
      <c r="B23" s="82" t="s">
        <v>43</v>
      </c>
      <c r="C23" s="80" t="s">
        <v>42</v>
      </c>
      <c r="D23" s="80" t="s">
        <v>9</v>
      </c>
      <c r="E23" s="80" t="s">
        <v>81</v>
      </c>
      <c r="F23" s="80" t="s">
        <v>125</v>
      </c>
      <c r="G23" s="80" t="s">
        <v>82</v>
      </c>
      <c r="H23" s="80" t="s">
        <v>51</v>
      </c>
      <c r="I23" s="81">
        <v>1500</v>
      </c>
      <c r="J23" s="80" t="s">
        <v>53</v>
      </c>
      <c r="K23" s="80" t="s">
        <v>234</v>
      </c>
      <c r="L23" s="80" t="s">
        <v>60</v>
      </c>
      <c r="M23" s="80"/>
      <c r="N23" s="80"/>
      <c r="O23" s="80"/>
      <c r="P23" s="80" t="s">
        <v>10</v>
      </c>
    </row>
    <row r="24" spans="1:16" x14ac:dyDescent="0.35">
      <c r="A24" s="78">
        <v>46022</v>
      </c>
      <c r="B24" s="82" t="s">
        <v>296</v>
      </c>
      <c r="C24" s="80" t="s">
        <v>42</v>
      </c>
      <c r="D24" s="80" t="s">
        <v>9</v>
      </c>
      <c r="E24" s="80" t="s">
        <v>81</v>
      </c>
      <c r="F24" s="80" t="s">
        <v>125</v>
      </c>
      <c r="G24" s="80" t="s">
        <v>82</v>
      </c>
      <c r="H24" s="80" t="s">
        <v>92</v>
      </c>
      <c r="I24" s="81">
        <v>1843</v>
      </c>
      <c r="J24" s="80" t="s">
        <v>184</v>
      </c>
      <c r="K24" s="80" t="s">
        <v>234</v>
      </c>
      <c r="L24" s="80" t="s">
        <v>184</v>
      </c>
      <c r="M24" s="80"/>
      <c r="N24" s="80"/>
      <c r="O24" s="80"/>
      <c r="P24" s="80" t="s">
        <v>10</v>
      </c>
    </row>
    <row r="25" spans="1:16" x14ac:dyDescent="0.35">
      <c r="A25" s="78">
        <v>46023</v>
      </c>
      <c r="B25" s="82" t="s">
        <v>46</v>
      </c>
      <c r="C25" s="80" t="s">
        <v>166</v>
      </c>
      <c r="D25" s="80" t="s">
        <v>9</v>
      </c>
      <c r="E25" s="80" t="s">
        <v>79</v>
      </c>
      <c r="F25" s="80" t="s">
        <v>80</v>
      </c>
      <c r="G25" s="80"/>
      <c r="H25" s="80" t="s">
        <v>51</v>
      </c>
      <c r="I25" s="81">
        <v>20600</v>
      </c>
      <c r="J25" s="80" t="s">
        <v>53</v>
      </c>
      <c r="K25" s="80" t="s">
        <v>234</v>
      </c>
      <c r="L25" s="80" t="s">
        <v>61</v>
      </c>
      <c r="M25" s="80"/>
      <c r="N25" s="80"/>
      <c r="O25" s="80"/>
      <c r="P25" s="80" t="s">
        <v>10</v>
      </c>
    </row>
    <row r="26" spans="1:16" x14ac:dyDescent="0.35">
      <c r="A26" s="78">
        <v>46023</v>
      </c>
      <c r="B26" s="82" t="s">
        <v>44</v>
      </c>
      <c r="C26" s="80" t="s">
        <v>45</v>
      </c>
      <c r="D26" s="80" t="s">
        <v>9</v>
      </c>
      <c r="E26" s="80" t="s">
        <v>79</v>
      </c>
      <c r="F26" s="80" t="s">
        <v>125</v>
      </c>
      <c r="G26" s="80" t="s">
        <v>242</v>
      </c>
      <c r="H26" s="80" t="s">
        <v>51</v>
      </c>
      <c r="I26" s="81">
        <v>70</v>
      </c>
      <c r="J26" s="80" t="s">
        <v>62</v>
      </c>
      <c r="K26" s="80" t="s">
        <v>234</v>
      </c>
      <c r="L26" s="80" t="s">
        <v>57</v>
      </c>
      <c r="M26" s="80"/>
      <c r="N26" s="80"/>
      <c r="O26" s="80"/>
      <c r="P26" s="80" t="s">
        <v>10</v>
      </c>
    </row>
    <row r="27" spans="1:16" x14ac:dyDescent="0.35">
      <c r="A27" s="78">
        <v>46025</v>
      </c>
      <c r="B27" s="82" t="s">
        <v>47</v>
      </c>
      <c r="C27" s="80" t="s">
        <v>22</v>
      </c>
      <c r="D27" s="80" t="s">
        <v>9</v>
      </c>
      <c r="E27" s="80" t="s">
        <v>244</v>
      </c>
      <c r="F27" s="80" t="s">
        <v>244</v>
      </c>
      <c r="G27" s="80" t="s">
        <v>47</v>
      </c>
      <c r="H27" s="80" t="s">
        <v>51</v>
      </c>
      <c r="I27" s="81">
        <v>2000</v>
      </c>
      <c r="J27" s="80" t="s">
        <v>53</v>
      </c>
      <c r="K27" s="80" t="s">
        <v>234</v>
      </c>
      <c r="L27" s="80" t="s">
        <v>59</v>
      </c>
      <c r="M27" s="80"/>
      <c r="N27" s="80"/>
      <c r="O27" s="80"/>
      <c r="P27" s="80" t="s">
        <v>10</v>
      </c>
    </row>
    <row r="28" spans="1:16" x14ac:dyDescent="0.35">
      <c r="A28" s="78">
        <v>46026</v>
      </c>
      <c r="B28" s="82" t="s">
        <v>31</v>
      </c>
      <c r="C28" s="80" t="s">
        <v>29</v>
      </c>
      <c r="D28" s="80" t="s">
        <v>9</v>
      </c>
      <c r="E28" s="80" t="s">
        <v>79</v>
      </c>
      <c r="F28" s="80" t="s">
        <v>125</v>
      </c>
      <c r="G28" s="80" t="s">
        <v>78</v>
      </c>
      <c r="H28" s="80" t="s">
        <v>51</v>
      </c>
      <c r="I28" s="81">
        <v>800</v>
      </c>
      <c r="J28" s="80" t="s">
        <v>53</v>
      </c>
      <c r="K28" s="80" t="s">
        <v>234</v>
      </c>
      <c r="L28" s="80" t="s">
        <v>58</v>
      </c>
      <c r="M28" s="80"/>
      <c r="N28" s="80"/>
      <c r="O28" s="80"/>
      <c r="P28" s="80" t="s">
        <v>10</v>
      </c>
    </row>
    <row r="29" spans="1:16" x14ac:dyDescent="0.35">
      <c r="A29" s="78">
        <v>46026</v>
      </c>
      <c r="B29" s="82" t="s">
        <v>110</v>
      </c>
      <c r="C29" s="80" t="s">
        <v>94</v>
      </c>
      <c r="D29" s="80" t="s">
        <v>9</v>
      </c>
      <c r="E29" s="80" t="s">
        <v>79</v>
      </c>
      <c r="F29" s="80" t="s">
        <v>236</v>
      </c>
      <c r="G29" s="80" t="s">
        <v>241</v>
      </c>
      <c r="H29" s="80" t="s">
        <v>92</v>
      </c>
      <c r="I29" s="81">
        <v>10080</v>
      </c>
      <c r="J29" s="80" t="s">
        <v>53</v>
      </c>
      <c r="K29" s="80" t="s">
        <v>234</v>
      </c>
      <c r="L29" s="80" t="s">
        <v>93</v>
      </c>
      <c r="M29" s="80"/>
      <c r="N29" s="80"/>
      <c r="O29" s="80"/>
      <c r="P29" s="80" t="s">
        <v>10</v>
      </c>
    </row>
    <row r="30" spans="1:16" x14ac:dyDescent="0.35">
      <c r="A30" s="78">
        <v>46027</v>
      </c>
      <c r="B30" s="82" t="s">
        <v>112</v>
      </c>
      <c r="C30" s="80" t="s">
        <v>108</v>
      </c>
      <c r="D30" s="80" t="s">
        <v>9</v>
      </c>
      <c r="E30" s="80" t="s">
        <v>81</v>
      </c>
      <c r="F30" s="80" t="s">
        <v>125</v>
      </c>
      <c r="G30" s="80"/>
      <c r="H30" s="80" t="s">
        <v>92</v>
      </c>
      <c r="I30" s="81">
        <v>700</v>
      </c>
      <c r="J30" s="80" t="s">
        <v>118</v>
      </c>
      <c r="K30" s="80" t="s">
        <v>234</v>
      </c>
      <c r="L30" s="80" t="s">
        <v>119</v>
      </c>
      <c r="M30" s="80"/>
      <c r="N30" s="80"/>
      <c r="O30" s="80"/>
      <c r="P30" s="80" t="s">
        <v>10</v>
      </c>
    </row>
    <row r="31" spans="1:16" x14ac:dyDescent="0.35">
      <c r="A31" s="78">
        <v>46027</v>
      </c>
      <c r="B31" s="82" t="s">
        <v>111</v>
      </c>
      <c r="C31" s="80" t="s">
        <v>94</v>
      </c>
      <c r="D31" s="80" t="s">
        <v>9</v>
      </c>
      <c r="E31" s="80" t="s">
        <v>79</v>
      </c>
      <c r="F31" s="80" t="s">
        <v>236</v>
      </c>
      <c r="G31" s="80" t="s">
        <v>241</v>
      </c>
      <c r="H31" s="80" t="s">
        <v>92</v>
      </c>
      <c r="I31" s="81">
        <v>1890</v>
      </c>
      <c r="J31" s="80" t="s">
        <v>53</v>
      </c>
      <c r="K31" s="80" t="s">
        <v>234</v>
      </c>
      <c r="L31" s="80" t="s">
        <v>93</v>
      </c>
      <c r="M31" s="80"/>
      <c r="N31" s="80"/>
      <c r="O31" s="80"/>
      <c r="P31" s="80" t="s">
        <v>10</v>
      </c>
    </row>
    <row r="32" spans="1:16" ht="70" x14ac:dyDescent="0.35">
      <c r="A32" s="78">
        <v>46028</v>
      </c>
      <c r="B32" s="79" t="s">
        <v>114</v>
      </c>
      <c r="C32" s="84" t="s">
        <v>235</v>
      </c>
      <c r="D32" s="80" t="s">
        <v>9</v>
      </c>
      <c r="E32" s="80" t="s">
        <v>81</v>
      </c>
      <c r="F32" s="80" t="s">
        <v>115</v>
      </c>
      <c r="G32" s="80"/>
      <c r="H32" s="80" t="s">
        <v>92</v>
      </c>
      <c r="I32" s="81">
        <v>34183</v>
      </c>
      <c r="J32" s="80" t="s">
        <v>53</v>
      </c>
      <c r="K32" s="80" t="s">
        <v>234</v>
      </c>
      <c r="L32" s="80" t="s">
        <v>55</v>
      </c>
      <c r="M32" s="80"/>
      <c r="N32" s="80"/>
      <c r="O32" s="80"/>
      <c r="P32" s="80" t="s">
        <v>10</v>
      </c>
    </row>
    <row r="33" spans="1:16" ht="35" x14ac:dyDescent="0.35">
      <c r="A33" s="78">
        <v>46028</v>
      </c>
      <c r="B33" s="79" t="s">
        <v>116</v>
      </c>
      <c r="C33" s="84" t="s">
        <v>235</v>
      </c>
      <c r="D33" s="80" t="s">
        <v>9</v>
      </c>
      <c r="E33" s="80" t="s">
        <v>81</v>
      </c>
      <c r="F33" s="80" t="s">
        <v>125</v>
      </c>
      <c r="G33" s="80" t="s">
        <v>117</v>
      </c>
      <c r="H33" s="80" t="s">
        <v>92</v>
      </c>
      <c r="I33" s="81">
        <v>990</v>
      </c>
      <c r="J33" s="80" t="s">
        <v>53</v>
      </c>
      <c r="K33" s="80" t="s">
        <v>234</v>
      </c>
      <c r="L33" s="80" t="s">
        <v>55</v>
      </c>
      <c r="M33" s="80"/>
      <c r="N33" s="80"/>
      <c r="O33" s="80"/>
      <c r="P33" s="80" t="s">
        <v>10</v>
      </c>
    </row>
    <row r="34" spans="1:16" x14ac:dyDescent="0.35">
      <c r="A34" s="78">
        <v>46029</v>
      </c>
      <c r="B34" s="82" t="s">
        <v>130</v>
      </c>
      <c r="C34" s="84" t="s">
        <v>133</v>
      </c>
      <c r="D34" s="80" t="s">
        <v>9</v>
      </c>
      <c r="E34" s="80" t="s">
        <v>81</v>
      </c>
      <c r="F34" s="80" t="s">
        <v>125</v>
      </c>
      <c r="G34" s="80"/>
      <c r="H34" s="80" t="s">
        <v>92</v>
      </c>
      <c r="I34" s="81">
        <v>130</v>
      </c>
      <c r="J34" s="80" t="s">
        <v>118</v>
      </c>
      <c r="K34" s="80" t="s">
        <v>234</v>
      </c>
      <c r="L34" s="80" t="s">
        <v>132</v>
      </c>
      <c r="M34" s="80"/>
      <c r="N34" s="80"/>
      <c r="O34" s="80"/>
      <c r="P34" s="80" t="s">
        <v>10</v>
      </c>
    </row>
    <row r="35" spans="1:16" x14ac:dyDescent="0.35">
      <c r="A35" s="78">
        <v>46030</v>
      </c>
      <c r="B35" s="82" t="s">
        <v>120</v>
      </c>
      <c r="C35" s="80" t="s">
        <v>108</v>
      </c>
      <c r="D35" s="80" t="s">
        <v>9</v>
      </c>
      <c r="E35" s="80" t="s">
        <v>81</v>
      </c>
      <c r="F35" s="80" t="s">
        <v>125</v>
      </c>
      <c r="G35" s="80" t="s">
        <v>140</v>
      </c>
      <c r="H35" s="80" t="s">
        <v>92</v>
      </c>
      <c r="I35" s="81">
        <v>100</v>
      </c>
      <c r="J35" s="80" t="s">
        <v>118</v>
      </c>
      <c r="K35" s="80" t="s">
        <v>234</v>
      </c>
      <c r="L35" s="80" t="s">
        <v>119</v>
      </c>
      <c r="M35" s="80"/>
      <c r="N35" s="80"/>
      <c r="O35" s="80"/>
      <c r="P35" s="80" t="s">
        <v>10</v>
      </c>
    </row>
    <row r="36" spans="1:16" x14ac:dyDescent="0.35">
      <c r="A36" s="78">
        <v>46031</v>
      </c>
      <c r="B36" s="82" t="s">
        <v>97</v>
      </c>
      <c r="C36" s="80" t="s">
        <v>27</v>
      </c>
      <c r="D36" s="80" t="s">
        <v>9</v>
      </c>
      <c r="E36" s="80" t="s">
        <v>72</v>
      </c>
      <c r="F36" s="80" t="s">
        <v>73</v>
      </c>
      <c r="G36" s="80"/>
      <c r="H36" s="80" t="s">
        <v>92</v>
      </c>
      <c r="I36" s="81">
        <v>5000</v>
      </c>
      <c r="J36" s="80" t="s">
        <v>118</v>
      </c>
      <c r="K36" s="80" t="s">
        <v>234</v>
      </c>
      <c r="L36" s="80" t="s">
        <v>119</v>
      </c>
      <c r="M36" s="80"/>
      <c r="N36" s="80"/>
      <c r="O36" s="80"/>
      <c r="P36" s="80" t="s">
        <v>10</v>
      </c>
    </row>
    <row r="37" spans="1:16" x14ac:dyDescent="0.35">
      <c r="A37" s="78">
        <v>46032</v>
      </c>
      <c r="B37" s="82" t="s">
        <v>135</v>
      </c>
      <c r="C37" s="80" t="s">
        <v>42</v>
      </c>
      <c r="D37" s="80" t="s">
        <v>9</v>
      </c>
      <c r="E37" s="80" t="s">
        <v>81</v>
      </c>
      <c r="F37" s="80" t="s">
        <v>125</v>
      </c>
      <c r="G37" s="80"/>
      <c r="H37" s="80" t="s">
        <v>92</v>
      </c>
      <c r="I37" s="81">
        <v>1367</v>
      </c>
      <c r="J37" s="80" t="s">
        <v>131</v>
      </c>
      <c r="K37" s="80" t="s">
        <v>234</v>
      </c>
      <c r="L37" s="80"/>
      <c r="M37" s="80"/>
      <c r="N37" s="80"/>
      <c r="O37" s="80"/>
      <c r="P37" s="80" t="s">
        <v>10</v>
      </c>
    </row>
    <row r="38" spans="1:16" ht="35" x14ac:dyDescent="0.35">
      <c r="A38" s="78">
        <v>46037</v>
      </c>
      <c r="B38" s="79" t="s">
        <v>121</v>
      </c>
      <c r="C38" s="84" t="s">
        <v>235</v>
      </c>
      <c r="D38" s="80" t="s">
        <v>9</v>
      </c>
      <c r="E38" s="80" t="s">
        <v>81</v>
      </c>
      <c r="F38" s="80" t="s">
        <v>115</v>
      </c>
      <c r="G38" s="80"/>
      <c r="H38" s="80" t="s">
        <v>92</v>
      </c>
      <c r="I38" s="81">
        <v>15180</v>
      </c>
      <c r="J38" s="80" t="s">
        <v>53</v>
      </c>
      <c r="K38" s="80" t="s">
        <v>234</v>
      </c>
      <c r="L38" s="80" t="s">
        <v>55</v>
      </c>
      <c r="M38" s="80"/>
      <c r="N38" s="80"/>
      <c r="O38" s="80"/>
      <c r="P38" s="80" t="s">
        <v>10</v>
      </c>
    </row>
    <row r="39" spans="1:16" s="85" customFormat="1" x14ac:dyDescent="0.35">
      <c r="A39" s="24">
        <v>46041</v>
      </c>
      <c r="B39" s="58" t="s">
        <v>124</v>
      </c>
      <c r="C39" s="27" t="s">
        <v>123</v>
      </c>
      <c r="D39" s="80" t="s">
        <v>9</v>
      </c>
      <c r="E39" s="25" t="s">
        <v>81</v>
      </c>
      <c r="F39" s="25" t="s">
        <v>125</v>
      </c>
      <c r="G39" s="25"/>
      <c r="H39" s="25" t="s">
        <v>92</v>
      </c>
      <c r="I39" s="26">
        <v>869.4</v>
      </c>
      <c r="J39" s="25" t="s">
        <v>53</v>
      </c>
      <c r="K39" s="80" t="s">
        <v>234</v>
      </c>
      <c r="L39" s="25" t="s">
        <v>60</v>
      </c>
      <c r="M39" s="25"/>
      <c r="N39" s="25"/>
      <c r="O39" s="25"/>
      <c r="P39" s="25" t="s">
        <v>10</v>
      </c>
    </row>
    <row r="40" spans="1:16" s="85" customFormat="1" ht="70" x14ac:dyDescent="0.35">
      <c r="A40" s="78">
        <v>46042</v>
      </c>
      <c r="B40" s="79" t="s">
        <v>153</v>
      </c>
      <c r="C40" s="84" t="s">
        <v>126</v>
      </c>
      <c r="D40" s="80" t="s">
        <v>9</v>
      </c>
      <c r="E40" s="80" t="s">
        <v>79</v>
      </c>
      <c r="F40" s="80" t="s">
        <v>236</v>
      </c>
      <c r="G40" s="80" t="s">
        <v>122</v>
      </c>
      <c r="H40" s="80" t="s">
        <v>92</v>
      </c>
      <c r="I40" s="81">
        <v>51575.5</v>
      </c>
      <c r="J40" s="80" t="s">
        <v>53</v>
      </c>
      <c r="K40" s="80" t="s">
        <v>234</v>
      </c>
      <c r="L40" s="80" t="s">
        <v>55</v>
      </c>
      <c r="M40" s="80"/>
      <c r="N40" s="80"/>
      <c r="O40" s="80"/>
      <c r="P40" s="80" t="s">
        <v>10</v>
      </c>
    </row>
    <row r="41" spans="1:16" ht="122.5" x14ac:dyDescent="0.35">
      <c r="A41" s="78">
        <v>46046</v>
      </c>
      <c r="B41" s="79" t="s">
        <v>129</v>
      </c>
      <c r="C41" s="84" t="s">
        <v>127</v>
      </c>
      <c r="D41" s="80" t="s">
        <v>9</v>
      </c>
      <c r="E41" s="25" t="s">
        <v>81</v>
      </c>
      <c r="F41" s="80" t="s">
        <v>229</v>
      </c>
      <c r="G41" s="80"/>
      <c r="H41" s="80" t="s">
        <v>92</v>
      </c>
      <c r="I41" s="81">
        <v>4565.5</v>
      </c>
      <c r="J41" s="80" t="s">
        <v>53</v>
      </c>
      <c r="K41" s="80" t="s">
        <v>234</v>
      </c>
      <c r="L41" s="80" t="s">
        <v>93</v>
      </c>
      <c r="M41" s="80"/>
      <c r="N41" s="80"/>
      <c r="O41" s="80"/>
      <c r="P41" s="80" t="s">
        <v>10</v>
      </c>
    </row>
    <row r="42" spans="1:16" ht="105" x14ac:dyDescent="0.35">
      <c r="A42" s="78">
        <v>46046</v>
      </c>
      <c r="B42" s="79" t="s">
        <v>128</v>
      </c>
      <c r="C42" s="84" t="s">
        <v>235</v>
      </c>
      <c r="D42" s="80" t="s">
        <v>9</v>
      </c>
      <c r="E42" s="25" t="s">
        <v>81</v>
      </c>
      <c r="F42" s="80" t="s">
        <v>115</v>
      </c>
      <c r="G42" s="80"/>
      <c r="H42" s="80" t="s">
        <v>92</v>
      </c>
      <c r="I42" s="86">
        <v>5140</v>
      </c>
      <c r="J42" s="80" t="s">
        <v>53</v>
      </c>
      <c r="K42" s="80" t="s">
        <v>234</v>
      </c>
      <c r="L42" s="80" t="s">
        <v>55</v>
      </c>
      <c r="M42" s="80"/>
      <c r="N42" s="80"/>
      <c r="O42" s="80"/>
      <c r="P42" s="80" t="s">
        <v>10</v>
      </c>
    </row>
    <row r="43" spans="1:16" x14ac:dyDescent="0.35">
      <c r="A43" s="78">
        <v>46047</v>
      </c>
      <c r="B43" s="82" t="s">
        <v>98</v>
      </c>
      <c r="C43" s="80" t="s">
        <v>27</v>
      </c>
      <c r="D43" s="80" t="s">
        <v>9</v>
      </c>
      <c r="E43" s="80" t="s">
        <v>72</v>
      </c>
      <c r="F43" s="80" t="s">
        <v>73</v>
      </c>
      <c r="G43" s="80"/>
      <c r="H43" s="80" t="s">
        <v>92</v>
      </c>
      <c r="I43" s="81">
        <v>20000</v>
      </c>
      <c r="J43" s="80" t="s">
        <v>118</v>
      </c>
      <c r="K43" s="80" t="s">
        <v>234</v>
      </c>
      <c r="L43" s="80" t="s">
        <v>137</v>
      </c>
      <c r="M43" s="80"/>
      <c r="N43" s="80"/>
      <c r="O43" s="80"/>
      <c r="P43" s="80" t="s">
        <v>10</v>
      </c>
    </row>
    <row r="44" spans="1:16" ht="35" x14ac:dyDescent="0.35">
      <c r="A44" s="78">
        <v>46048</v>
      </c>
      <c r="B44" s="79" t="s">
        <v>138</v>
      </c>
      <c r="C44" s="80" t="s">
        <v>166</v>
      </c>
      <c r="D44" s="80" t="s">
        <v>9</v>
      </c>
      <c r="E44" s="80" t="s">
        <v>81</v>
      </c>
      <c r="F44" s="80" t="s">
        <v>139</v>
      </c>
      <c r="G44" s="80"/>
      <c r="H44" s="80" t="s">
        <v>92</v>
      </c>
      <c r="I44" s="81">
        <v>660</v>
      </c>
      <c r="J44" s="80" t="s">
        <v>53</v>
      </c>
      <c r="K44" s="80" t="s">
        <v>234</v>
      </c>
      <c r="L44" s="80" t="s">
        <v>61</v>
      </c>
      <c r="M44" s="80"/>
      <c r="N44" s="80"/>
      <c r="O44" s="80"/>
      <c r="P44" s="80" t="s">
        <v>10</v>
      </c>
    </row>
    <row r="45" spans="1:16" x14ac:dyDescent="0.35">
      <c r="A45" s="78">
        <v>46051</v>
      </c>
      <c r="B45" s="79" t="s">
        <v>140</v>
      </c>
      <c r="C45" s="80" t="s">
        <v>108</v>
      </c>
      <c r="D45" s="80" t="s">
        <v>9</v>
      </c>
      <c r="E45" s="80" t="s">
        <v>81</v>
      </c>
      <c r="F45" s="80" t="s">
        <v>125</v>
      </c>
      <c r="G45" s="80" t="s">
        <v>140</v>
      </c>
      <c r="H45" s="80" t="s">
        <v>92</v>
      </c>
      <c r="I45" s="81">
        <v>90</v>
      </c>
      <c r="J45" s="80" t="s">
        <v>118</v>
      </c>
      <c r="K45" s="80" t="s">
        <v>234</v>
      </c>
      <c r="L45" s="80"/>
      <c r="M45" s="80"/>
      <c r="N45" s="80"/>
      <c r="O45" s="80"/>
      <c r="P45" s="80" t="s">
        <v>10</v>
      </c>
    </row>
    <row r="46" spans="1:16" x14ac:dyDescent="0.35">
      <c r="A46" s="78">
        <v>46051</v>
      </c>
      <c r="B46" s="79" t="s">
        <v>144</v>
      </c>
      <c r="C46" s="80" t="s">
        <v>142</v>
      </c>
      <c r="D46" s="80" t="s">
        <v>9</v>
      </c>
      <c r="E46" s="80" t="s">
        <v>143</v>
      </c>
      <c r="F46" s="80" t="s">
        <v>143</v>
      </c>
      <c r="G46" s="80"/>
      <c r="H46" s="80" t="s">
        <v>92</v>
      </c>
      <c r="I46" s="81">
        <v>7750</v>
      </c>
      <c r="J46" s="80" t="s">
        <v>53</v>
      </c>
      <c r="K46" s="80" t="s">
        <v>234</v>
      </c>
      <c r="L46" s="80" t="s">
        <v>154</v>
      </c>
      <c r="M46" s="80"/>
      <c r="N46" s="80"/>
      <c r="O46" s="80"/>
      <c r="P46" s="80" t="s">
        <v>10</v>
      </c>
    </row>
    <row r="47" spans="1:16" ht="87.5" x14ac:dyDescent="0.35">
      <c r="A47" s="78">
        <v>46052</v>
      </c>
      <c r="B47" s="79" t="s">
        <v>141</v>
      </c>
      <c r="C47" s="84" t="s">
        <v>127</v>
      </c>
      <c r="D47" s="80" t="s">
        <v>9</v>
      </c>
      <c r="E47" s="80" t="s">
        <v>81</v>
      </c>
      <c r="F47" s="80" t="s">
        <v>229</v>
      </c>
      <c r="G47" s="80"/>
      <c r="H47" s="80" t="s">
        <v>92</v>
      </c>
      <c r="I47" s="81">
        <v>2070</v>
      </c>
      <c r="J47" s="80" t="s">
        <v>53</v>
      </c>
      <c r="K47" s="80" t="s">
        <v>234</v>
      </c>
      <c r="L47" s="80" t="s">
        <v>93</v>
      </c>
      <c r="M47" s="80"/>
      <c r="N47" s="80"/>
      <c r="O47" s="80"/>
      <c r="P47" s="80" t="s">
        <v>10</v>
      </c>
    </row>
    <row r="48" spans="1:16" ht="52.5" x14ac:dyDescent="0.35">
      <c r="A48" s="78">
        <v>46054</v>
      </c>
      <c r="B48" s="79" t="s">
        <v>156</v>
      </c>
      <c r="C48" s="84" t="s">
        <v>155</v>
      </c>
      <c r="D48" s="80" t="s">
        <v>9</v>
      </c>
      <c r="E48" s="80" t="s">
        <v>81</v>
      </c>
      <c r="F48" s="80" t="s">
        <v>125</v>
      </c>
      <c r="G48" s="80"/>
      <c r="H48" s="80" t="s">
        <v>92</v>
      </c>
      <c r="I48" s="81">
        <v>2587.5</v>
      </c>
      <c r="J48" s="80" t="s">
        <v>53</v>
      </c>
      <c r="K48" s="80" t="s">
        <v>234</v>
      </c>
      <c r="L48" s="80" t="s">
        <v>55</v>
      </c>
      <c r="M48" s="80"/>
      <c r="N48" s="80"/>
      <c r="O48" s="80"/>
      <c r="P48" s="80" t="s">
        <v>10</v>
      </c>
    </row>
    <row r="49" spans="1:16" ht="70" x14ac:dyDescent="0.35">
      <c r="A49" s="78">
        <v>46054</v>
      </c>
      <c r="B49" s="79" t="s">
        <v>169</v>
      </c>
      <c r="C49" s="84" t="s">
        <v>126</v>
      </c>
      <c r="D49" s="80" t="s">
        <v>9</v>
      </c>
      <c r="E49" s="80" t="s">
        <v>79</v>
      </c>
      <c r="F49" s="80" t="s">
        <v>236</v>
      </c>
      <c r="G49" s="80" t="s">
        <v>122</v>
      </c>
      <c r="H49" s="80" t="s">
        <v>92</v>
      </c>
      <c r="I49" s="81">
        <v>4346.25</v>
      </c>
      <c r="J49" s="80" t="s">
        <v>53</v>
      </c>
      <c r="K49" s="80" t="s">
        <v>234</v>
      </c>
      <c r="L49" s="80" t="s">
        <v>55</v>
      </c>
      <c r="M49" s="80"/>
      <c r="N49" s="80"/>
      <c r="O49" s="80"/>
      <c r="P49" s="80" t="s">
        <v>10</v>
      </c>
    </row>
    <row r="50" spans="1:16" x14ac:dyDescent="0.35">
      <c r="A50" s="78">
        <v>46055</v>
      </c>
      <c r="B50" s="79" t="s">
        <v>167</v>
      </c>
      <c r="C50" s="80" t="s">
        <v>166</v>
      </c>
      <c r="D50" s="80" t="s">
        <v>9</v>
      </c>
      <c r="E50" s="80" t="s">
        <v>81</v>
      </c>
      <c r="F50" s="80" t="s">
        <v>139</v>
      </c>
      <c r="G50" s="80"/>
      <c r="H50" s="80" t="s">
        <v>92</v>
      </c>
      <c r="I50" s="81">
        <v>38</v>
      </c>
      <c r="J50" s="80" t="s">
        <v>53</v>
      </c>
      <c r="K50" s="80" t="s">
        <v>234</v>
      </c>
      <c r="L50" s="80" t="s">
        <v>61</v>
      </c>
      <c r="M50" s="80"/>
      <c r="N50" s="80"/>
      <c r="O50" s="80"/>
      <c r="P50" s="80" t="s">
        <v>10</v>
      </c>
    </row>
    <row r="51" spans="1:16" ht="70" x14ac:dyDescent="0.35">
      <c r="A51" s="78">
        <v>46056</v>
      </c>
      <c r="B51" s="79" t="s">
        <v>168</v>
      </c>
      <c r="C51" s="84" t="s">
        <v>126</v>
      </c>
      <c r="D51" s="80" t="s">
        <v>9</v>
      </c>
      <c r="E51" s="80" t="s">
        <v>79</v>
      </c>
      <c r="F51" s="80" t="s">
        <v>236</v>
      </c>
      <c r="G51" s="80" t="s">
        <v>238</v>
      </c>
      <c r="H51" s="80" t="s">
        <v>92</v>
      </c>
      <c r="I51" s="81">
        <v>2318</v>
      </c>
      <c r="J51" s="80" t="s">
        <v>53</v>
      </c>
      <c r="K51" s="80" t="s">
        <v>234</v>
      </c>
      <c r="L51" s="80" t="s">
        <v>55</v>
      </c>
      <c r="M51" s="80"/>
      <c r="N51" s="80"/>
      <c r="O51" s="80"/>
      <c r="P51" s="80" t="s">
        <v>10</v>
      </c>
    </row>
    <row r="52" spans="1:16" x14ac:dyDescent="0.35">
      <c r="A52" s="78">
        <v>46060</v>
      </c>
      <c r="B52" s="79" t="s">
        <v>140</v>
      </c>
      <c r="C52" s="80" t="s">
        <v>108</v>
      </c>
      <c r="D52" s="80" t="s">
        <v>9</v>
      </c>
      <c r="E52" s="80" t="s">
        <v>81</v>
      </c>
      <c r="F52" s="80" t="s">
        <v>125</v>
      </c>
      <c r="G52" s="80" t="s">
        <v>140</v>
      </c>
      <c r="H52" s="80" t="s">
        <v>92</v>
      </c>
      <c r="I52" s="81">
        <v>90</v>
      </c>
      <c r="J52" s="80" t="s">
        <v>118</v>
      </c>
      <c r="K52" s="80" t="s">
        <v>234</v>
      </c>
      <c r="L52" s="80"/>
      <c r="M52" s="80"/>
      <c r="N52" s="80"/>
      <c r="O52" s="80"/>
      <c r="P52" s="80" t="s">
        <v>10</v>
      </c>
    </row>
    <row r="53" spans="1:16" x14ac:dyDescent="0.35">
      <c r="A53" s="78">
        <v>46060</v>
      </c>
      <c r="B53" s="79" t="s">
        <v>172</v>
      </c>
      <c r="C53" s="84" t="s">
        <v>173</v>
      </c>
      <c r="D53" s="80" t="s">
        <v>9</v>
      </c>
      <c r="E53" s="80" t="s">
        <v>75</v>
      </c>
      <c r="F53" s="80" t="s">
        <v>76</v>
      </c>
      <c r="G53" s="80"/>
      <c r="H53" s="80" t="s">
        <v>51</v>
      </c>
      <c r="I53" s="81">
        <v>300</v>
      </c>
      <c r="J53" s="80" t="s">
        <v>53</v>
      </c>
      <c r="K53" s="80" t="s">
        <v>234</v>
      </c>
      <c r="L53" s="80" t="s">
        <v>174</v>
      </c>
      <c r="M53" s="80"/>
      <c r="N53" s="80"/>
      <c r="O53" s="80"/>
      <c r="P53" s="80" t="s">
        <v>10</v>
      </c>
    </row>
    <row r="54" spans="1:16" x14ac:dyDescent="0.35">
      <c r="A54" s="78">
        <v>46063</v>
      </c>
      <c r="B54" s="79" t="s">
        <v>140</v>
      </c>
      <c r="C54" s="80" t="s">
        <v>108</v>
      </c>
      <c r="D54" s="80" t="s">
        <v>9</v>
      </c>
      <c r="E54" s="80" t="s">
        <v>81</v>
      </c>
      <c r="F54" s="80" t="s">
        <v>125</v>
      </c>
      <c r="G54" s="80" t="s">
        <v>140</v>
      </c>
      <c r="H54" s="80" t="s">
        <v>92</v>
      </c>
      <c r="I54" s="81">
        <v>450</v>
      </c>
      <c r="J54" s="80" t="s">
        <v>53</v>
      </c>
      <c r="K54" s="80" t="s">
        <v>234</v>
      </c>
      <c r="L54" s="80" t="s">
        <v>177</v>
      </c>
      <c r="M54" s="80"/>
      <c r="N54" s="80"/>
      <c r="O54" s="80"/>
      <c r="P54" s="80" t="s">
        <v>10</v>
      </c>
    </row>
    <row r="55" spans="1:16" x14ac:dyDescent="0.35">
      <c r="A55" s="78">
        <v>46063</v>
      </c>
      <c r="B55" s="79" t="s">
        <v>230</v>
      </c>
      <c r="C55" s="80" t="s">
        <v>178</v>
      </c>
      <c r="D55" s="80" t="s">
        <v>9</v>
      </c>
      <c r="E55" s="80" t="s">
        <v>79</v>
      </c>
      <c r="F55" s="80" t="s">
        <v>125</v>
      </c>
      <c r="G55" s="80"/>
      <c r="H55" s="80" t="s">
        <v>92</v>
      </c>
      <c r="I55" s="81">
        <v>700</v>
      </c>
      <c r="J55" s="80" t="s">
        <v>53</v>
      </c>
      <c r="K55" s="80" t="s">
        <v>234</v>
      </c>
      <c r="L55" s="80" t="s">
        <v>177</v>
      </c>
      <c r="M55" s="80"/>
      <c r="N55" s="80"/>
      <c r="O55" s="80"/>
      <c r="P55" s="80" t="s">
        <v>10</v>
      </c>
    </row>
    <row r="56" spans="1:16" ht="70" x14ac:dyDescent="0.35">
      <c r="A56" s="78">
        <v>46064</v>
      </c>
      <c r="B56" s="79" t="s">
        <v>175</v>
      </c>
      <c r="C56" s="80" t="s">
        <v>166</v>
      </c>
      <c r="D56" s="80" t="s">
        <v>9</v>
      </c>
      <c r="E56" s="80" t="s">
        <v>81</v>
      </c>
      <c r="F56" s="80" t="s">
        <v>176</v>
      </c>
      <c r="G56" s="80"/>
      <c r="H56" s="80" t="s">
        <v>92</v>
      </c>
      <c r="I56" s="81">
        <v>20500</v>
      </c>
      <c r="J56" s="80" t="s">
        <v>53</v>
      </c>
      <c r="K56" s="80" t="s">
        <v>234</v>
      </c>
      <c r="L56" s="80" t="s">
        <v>61</v>
      </c>
      <c r="M56" s="80"/>
      <c r="N56" s="80"/>
      <c r="O56" s="80"/>
      <c r="P56" s="80" t="s">
        <v>10</v>
      </c>
    </row>
    <row r="57" spans="1:16" ht="52.5" x14ac:dyDescent="0.35">
      <c r="A57" s="78">
        <v>46064</v>
      </c>
      <c r="B57" s="79" t="s">
        <v>179</v>
      </c>
      <c r="C57" s="84" t="s">
        <v>235</v>
      </c>
      <c r="D57" s="80" t="s">
        <v>9</v>
      </c>
      <c r="E57" s="80" t="s">
        <v>81</v>
      </c>
      <c r="F57" s="80" t="s">
        <v>115</v>
      </c>
      <c r="G57" s="80"/>
      <c r="H57" s="80" t="s">
        <v>92</v>
      </c>
      <c r="I57" s="81">
        <v>16910</v>
      </c>
      <c r="J57" s="80" t="s">
        <v>53</v>
      </c>
      <c r="K57" s="80" t="s">
        <v>234</v>
      </c>
      <c r="L57" s="80" t="s">
        <v>55</v>
      </c>
      <c r="M57" s="80"/>
      <c r="N57" s="80"/>
      <c r="O57" s="80"/>
      <c r="P57" s="80" t="s">
        <v>10</v>
      </c>
    </row>
    <row r="58" spans="1:16" x14ac:dyDescent="0.35">
      <c r="A58" s="78">
        <v>46064</v>
      </c>
      <c r="B58" s="79" t="s">
        <v>140</v>
      </c>
      <c r="C58" s="80" t="s">
        <v>108</v>
      </c>
      <c r="D58" s="80" t="s">
        <v>9</v>
      </c>
      <c r="E58" s="80" t="s">
        <v>81</v>
      </c>
      <c r="F58" s="80" t="s">
        <v>125</v>
      </c>
      <c r="G58" s="80" t="s">
        <v>140</v>
      </c>
      <c r="H58" s="80" t="s">
        <v>92</v>
      </c>
      <c r="I58" s="81">
        <v>90</v>
      </c>
      <c r="J58" s="80" t="s">
        <v>53</v>
      </c>
      <c r="K58" s="80" t="s">
        <v>234</v>
      </c>
      <c r="L58" s="80" t="s">
        <v>177</v>
      </c>
      <c r="M58" s="80"/>
      <c r="N58" s="80"/>
      <c r="O58" s="80"/>
      <c r="P58" s="80" t="s">
        <v>10</v>
      </c>
    </row>
    <row r="59" spans="1:16" ht="70" x14ac:dyDescent="0.35">
      <c r="A59" s="78">
        <v>46065</v>
      </c>
      <c r="B59" s="79" t="s">
        <v>180</v>
      </c>
      <c r="C59" s="84" t="s">
        <v>126</v>
      </c>
      <c r="D59" s="80" t="s">
        <v>9</v>
      </c>
      <c r="E59" s="80" t="s">
        <v>79</v>
      </c>
      <c r="F59" s="80" t="s">
        <v>236</v>
      </c>
      <c r="G59" s="80" t="s">
        <v>239</v>
      </c>
      <c r="H59" s="80" t="s">
        <v>92</v>
      </c>
      <c r="I59" s="81">
        <v>5215.5</v>
      </c>
      <c r="J59" s="80" t="s">
        <v>53</v>
      </c>
      <c r="K59" s="80" t="s">
        <v>234</v>
      </c>
      <c r="L59" s="80" t="s">
        <v>55</v>
      </c>
      <c r="M59" s="80"/>
      <c r="N59" s="80"/>
      <c r="O59" s="80"/>
      <c r="P59" s="80" t="s">
        <v>10</v>
      </c>
    </row>
    <row r="60" spans="1:16" x14ac:dyDescent="0.35">
      <c r="A60" s="78">
        <v>46076</v>
      </c>
      <c r="B60" s="79" t="s">
        <v>134</v>
      </c>
      <c r="C60" s="80" t="s">
        <v>25</v>
      </c>
      <c r="D60" s="80" t="s">
        <v>9</v>
      </c>
      <c r="E60" s="80" t="s">
        <v>77</v>
      </c>
      <c r="F60" s="80" t="s">
        <v>109</v>
      </c>
      <c r="G60" s="80"/>
      <c r="H60" s="80" t="s">
        <v>92</v>
      </c>
      <c r="I60" s="81">
        <v>4025</v>
      </c>
      <c r="J60" s="80" t="s">
        <v>53</v>
      </c>
      <c r="K60" s="80" t="s">
        <v>234</v>
      </c>
      <c r="L60" s="80" t="s">
        <v>154</v>
      </c>
      <c r="M60" s="80"/>
      <c r="N60" s="80"/>
      <c r="O60" s="80"/>
      <c r="P60" s="80" t="s">
        <v>10</v>
      </c>
    </row>
    <row r="61" spans="1:16" ht="70" x14ac:dyDescent="0.35">
      <c r="A61" s="78">
        <v>46077</v>
      </c>
      <c r="B61" s="79" t="s">
        <v>185</v>
      </c>
      <c r="C61" s="84" t="s">
        <v>126</v>
      </c>
      <c r="D61" s="80" t="s">
        <v>9</v>
      </c>
      <c r="E61" s="80" t="s">
        <v>79</v>
      </c>
      <c r="F61" s="80" t="s">
        <v>236</v>
      </c>
      <c r="G61" s="80" t="s">
        <v>240</v>
      </c>
      <c r="H61" s="80" t="s">
        <v>92</v>
      </c>
      <c r="I61" s="81">
        <v>13038.75</v>
      </c>
      <c r="J61" s="80" t="s">
        <v>53</v>
      </c>
      <c r="K61" s="80" t="s">
        <v>234</v>
      </c>
      <c r="L61" s="80" t="s">
        <v>55</v>
      </c>
      <c r="M61" s="80"/>
      <c r="N61" s="80"/>
      <c r="O61" s="80"/>
      <c r="P61" s="80" t="s">
        <v>10</v>
      </c>
    </row>
    <row r="62" spans="1:16" x14ac:dyDescent="0.35">
      <c r="A62" s="78">
        <v>46077</v>
      </c>
      <c r="B62" s="79" t="s">
        <v>190</v>
      </c>
      <c r="C62" s="80" t="s">
        <v>243</v>
      </c>
      <c r="D62" s="80" t="s">
        <v>9</v>
      </c>
      <c r="E62" s="80" t="s">
        <v>81</v>
      </c>
      <c r="F62" s="80" t="s">
        <v>125</v>
      </c>
      <c r="G62" s="80"/>
      <c r="H62" s="80" t="s">
        <v>92</v>
      </c>
      <c r="I62" s="81">
        <v>234.5</v>
      </c>
      <c r="J62" s="80" t="s">
        <v>53</v>
      </c>
      <c r="K62" s="80" t="s">
        <v>234</v>
      </c>
      <c r="L62" s="80" t="s">
        <v>177</v>
      </c>
      <c r="M62" s="80"/>
      <c r="N62" s="80"/>
      <c r="O62" s="80"/>
      <c r="P62" s="80" t="s">
        <v>10</v>
      </c>
    </row>
    <row r="63" spans="1:16" x14ac:dyDescent="0.35">
      <c r="A63" s="78">
        <v>46077</v>
      </c>
      <c r="B63" s="82" t="s">
        <v>189</v>
      </c>
      <c r="C63" s="80" t="s">
        <v>186</v>
      </c>
      <c r="D63" s="80" t="s">
        <v>9</v>
      </c>
      <c r="E63" s="80" t="s">
        <v>81</v>
      </c>
      <c r="F63" s="80" t="s">
        <v>125</v>
      </c>
      <c r="G63" s="80"/>
      <c r="H63" s="80" t="s">
        <v>92</v>
      </c>
      <c r="I63" s="81">
        <v>150</v>
      </c>
      <c r="J63" s="80" t="s">
        <v>53</v>
      </c>
      <c r="K63" s="80" t="s">
        <v>234</v>
      </c>
      <c r="L63" s="80" t="s">
        <v>177</v>
      </c>
      <c r="M63" s="80"/>
      <c r="N63" s="80"/>
      <c r="O63" s="80"/>
      <c r="P63" s="80" t="s">
        <v>10</v>
      </c>
    </row>
    <row r="64" spans="1:16" x14ac:dyDescent="0.35">
      <c r="A64" s="78">
        <v>46078</v>
      </c>
      <c r="B64" s="79" t="s">
        <v>99</v>
      </c>
      <c r="C64" s="80" t="s">
        <v>27</v>
      </c>
      <c r="D64" s="80" t="s">
        <v>9</v>
      </c>
      <c r="E64" s="80" t="s">
        <v>72</v>
      </c>
      <c r="F64" s="80" t="s">
        <v>73</v>
      </c>
      <c r="G64" s="80"/>
      <c r="H64" s="80" t="s">
        <v>92</v>
      </c>
      <c r="I64" s="81">
        <v>20000</v>
      </c>
      <c r="J64" s="80" t="s">
        <v>118</v>
      </c>
      <c r="K64" s="80" t="s">
        <v>234</v>
      </c>
      <c r="L64" s="80" t="s">
        <v>183</v>
      </c>
      <c r="M64" s="80"/>
      <c r="N64" s="80"/>
      <c r="O64" s="80"/>
      <c r="P64" s="80" t="s">
        <v>10</v>
      </c>
    </row>
    <row r="65" spans="1:16" x14ac:dyDescent="0.35">
      <c r="A65" s="78">
        <v>46081</v>
      </c>
      <c r="B65" s="82" t="s">
        <v>191</v>
      </c>
      <c r="C65" s="80" t="s">
        <v>192</v>
      </c>
      <c r="D65" s="80" t="s">
        <v>9</v>
      </c>
      <c r="E65" s="80" t="s">
        <v>81</v>
      </c>
      <c r="F65" s="80" t="s">
        <v>125</v>
      </c>
      <c r="G65" s="80" t="s">
        <v>191</v>
      </c>
      <c r="H65" s="80" t="s">
        <v>92</v>
      </c>
      <c r="I65" s="81">
        <v>5493</v>
      </c>
      <c r="J65" s="80" t="s">
        <v>53</v>
      </c>
      <c r="K65" s="80" t="s">
        <v>234</v>
      </c>
      <c r="L65" s="80" t="s">
        <v>55</v>
      </c>
      <c r="M65" s="80"/>
      <c r="N65" s="80"/>
      <c r="O65" s="80"/>
      <c r="P65" s="80" t="s">
        <v>10</v>
      </c>
    </row>
    <row r="66" spans="1:16" x14ac:dyDescent="0.35">
      <c r="A66" s="78">
        <v>46083</v>
      </c>
      <c r="B66" s="82" t="s">
        <v>139</v>
      </c>
      <c r="C66" s="80" t="s">
        <v>194</v>
      </c>
      <c r="D66" s="80" t="s">
        <v>9</v>
      </c>
      <c r="E66" s="80" t="s">
        <v>81</v>
      </c>
      <c r="F66" s="80" t="s">
        <v>139</v>
      </c>
      <c r="G66" s="80"/>
      <c r="H66" s="80" t="s">
        <v>92</v>
      </c>
      <c r="I66" s="81">
        <v>108</v>
      </c>
      <c r="J66" s="80" t="s">
        <v>53</v>
      </c>
      <c r="K66" s="80" t="s">
        <v>234</v>
      </c>
      <c r="L66" s="80" t="s">
        <v>177</v>
      </c>
      <c r="M66" s="80"/>
      <c r="N66" s="80"/>
      <c r="O66" s="80"/>
      <c r="P66" s="80" t="s">
        <v>10</v>
      </c>
    </row>
    <row r="67" spans="1:16" s="85" customFormat="1" x14ac:dyDescent="0.35">
      <c r="A67" s="78">
        <v>46083</v>
      </c>
      <c r="B67" s="82" t="s">
        <v>140</v>
      </c>
      <c r="C67" s="80" t="s">
        <v>108</v>
      </c>
      <c r="D67" s="80" t="s">
        <v>9</v>
      </c>
      <c r="E67" s="80" t="s">
        <v>81</v>
      </c>
      <c r="F67" s="80" t="s">
        <v>125</v>
      </c>
      <c r="G67" s="80" t="s">
        <v>140</v>
      </c>
      <c r="H67" s="80" t="s">
        <v>92</v>
      </c>
      <c r="I67" s="81">
        <v>90</v>
      </c>
      <c r="J67" s="80" t="s">
        <v>53</v>
      </c>
      <c r="K67" s="80" t="s">
        <v>234</v>
      </c>
      <c r="L67" s="80" t="s">
        <v>177</v>
      </c>
      <c r="M67" s="80"/>
      <c r="N67" s="80"/>
      <c r="O67" s="80"/>
      <c r="P67" s="80" t="s">
        <v>10</v>
      </c>
    </row>
    <row r="68" spans="1:16" x14ac:dyDescent="0.35">
      <c r="A68" s="78">
        <v>46085</v>
      </c>
      <c r="B68" s="82" t="s">
        <v>193</v>
      </c>
      <c r="C68" s="80" t="s">
        <v>194</v>
      </c>
      <c r="D68" s="80" t="s">
        <v>9</v>
      </c>
      <c r="E68" s="80" t="s">
        <v>81</v>
      </c>
      <c r="F68" s="80" t="s">
        <v>125</v>
      </c>
      <c r="G68" s="80"/>
      <c r="H68" s="80" t="s">
        <v>92</v>
      </c>
      <c r="I68" s="81">
        <v>112</v>
      </c>
      <c r="J68" s="80" t="s">
        <v>53</v>
      </c>
      <c r="K68" s="80" t="s">
        <v>234</v>
      </c>
      <c r="L68" s="80" t="s">
        <v>177</v>
      </c>
      <c r="M68" s="80"/>
      <c r="N68" s="80"/>
      <c r="O68" s="80"/>
      <c r="P68" s="80" t="s">
        <v>10</v>
      </c>
    </row>
    <row r="69" spans="1:16" ht="52.5" x14ac:dyDescent="0.35">
      <c r="A69" s="78">
        <v>46092</v>
      </c>
      <c r="B69" s="79" t="s">
        <v>195</v>
      </c>
      <c r="C69" s="80" t="s">
        <v>166</v>
      </c>
      <c r="D69" s="80" t="s">
        <v>9</v>
      </c>
      <c r="E69" s="80" t="s">
        <v>81</v>
      </c>
      <c r="F69" s="80" t="s">
        <v>176</v>
      </c>
      <c r="G69" s="80"/>
      <c r="H69" s="80" t="s">
        <v>92</v>
      </c>
      <c r="I69" s="81">
        <v>6800</v>
      </c>
      <c r="J69" s="80" t="s">
        <v>53</v>
      </c>
      <c r="K69" s="80" t="s">
        <v>234</v>
      </c>
      <c r="L69" s="80" t="s">
        <v>61</v>
      </c>
      <c r="M69" s="80"/>
      <c r="N69" s="80"/>
      <c r="O69" s="80"/>
      <c r="P69" s="80" t="s">
        <v>10</v>
      </c>
    </row>
    <row r="70" spans="1:16" s="85" customFormat="1" x14ac:dyDescent="0.35">
      <c r="A70" s="78">
        <v>46092</v>
      </c>
      <c r="B70" s="79" t="s">
        <v>203</v>
      </c>
      <c r="C70" s="84" t="s">
        <v>108</v>
      </c>
      <c r="D70" s="80" t="s">
        <v>9</v>
      </c>
      <c r="E70" s="80" t="s">
        <v>81</v>
      </c>
      <c r="F70" s="80" t="s">
        <v>125</v>
      </c>
      <c r="G70" s="80" t="s">
        <v>231</v>
      </c>
      <c r="H70" s="80" t="s">
        <v>92</v>
      </c>
      <c r="I70" s="81">
        <v>1680</v>
      </c>
      <c r="J70" s="80" t="s">
        <v>53</v>
      </c>
      <c r="K70" s="80" t="s">
        <v>234</v>
      </c>
      <c r="L70" s="80" t="s">
        <v>177</v>
      </c>
      <c r="M70" s="80"/>
      <c r="N70" s="80"/>
      <c r="O70" s="80"/>
      <c r="P70" s="80" t="s">
        <v>10</v>
      </c>
    </row>
    <row r="71" spans="1:16" s="85" customFormat="1" x14ac:dyDescent="0.35">
      <c r="A71" s="78">
        <v>46092</v>
      </c>
      <c r="B71" s="82" t="s">
        <v>140</v>
      </c>
      <c r="C71" s="80" t="s">
        <v>108</v>
      </c>
      <c r="D71" s="80" t="s">
        <v>9</v>
      </c>
      <c r="E71" s="80" t="s">
        <v>81</v>
      </c>
      <c r="F71" s="80" t="s">
        <v>125</v>
      </c>
      <c r="G71" s="80" t="s">
        <v>140</v>
      </c>
      <c r="H71" s="80" t="s">
        <v>92</v>
      </c>
      <c r="I71" s="81">
        <v>270</v>
      </c>
      <c r="J71" s="80" t="s">
        <v>53</v>
      </c>
      <c r="K71" s="80" t="s">
        <v>234</v>
      </c>
      <c r="L71" s="80" t="s">
        <v>177</v>
      </c>
      <c r="M71" s="80"/>
      <c r="N71" s="80"/>
      <c r="O71" s="80"/>
      <c r="P71" s="80" t="s">
        <v>10</v>
      </c>
    </row>
    <row r="72" spans="1:16" x14ac:dyDescent="0.35">
      <c r="A72" s="78">
        <v>46093</v>
      </c>
      <c r="B72" s="79" t="s">
        <v>197</v>
      </c>
      <c r="C72" s="84" t="s">
        <v>235</v>
      </c>
      <c r="D72" s="80" t="s">
        <v>9</v>
      </c>
      <c r="E72" s="80" t="s">
        <v>81</v>
      </c>
      <c r="F72" s="80" t="s">
        <v>196</v>
      </c>
      <c r="G72" s="80" t="s">
        <v>196</v>
      </c>
      <c r="H72" s="80" t="s">
        <v>92</v>
      </c>
      <c r="I72" s="81">
        <v>3100</v>
      </c>
      <c r="J72" s="80" t="s">
        <v>53</v>
      </c>
      <c r="K72" s="80" t="s">
        <v>234</v>
      </c>
      <c r="L72" s="80" t="s">
        <v>55</v>
      </c>
      <c r="M72" s="80" t="s">
        <v>307</v>
      </c>
      <c r="N72" s="78">
        <v>46095</v>
      </c>
      <c r="O72" s="80"/>
      <c r="P72" s="80" t="s">
        <v>10</v>
      </c>
    </row>
    <row r="73" spans="1:16" x14ac:dyDescent="0.35">
      <c r="A73" s="78">
        <v>46098</v>
      </c>
      <c r="B73" s="79" t="s">
        <v>200</v>
      </c>
      <c r="C73" s="84" t="s">
        <v>199</v>
      </c>
      <c r="D73" s="80" t="s">
        <v>9</v>
      </c>
      <c r="E73" s="80" t="s">
        <v>81</v>
      </c>
      <c r="F73" s="80" t="s">
        <v>125</v>
      </c>
      <c r="G73" s="80" t="s">
        <v>201</v>
      </c>
      <c r="H73" s="80" t="s">
        <v>92</v>
      </c>
      <c r="I73" s="81">
        <v>325</v>
      </c>
      <c r="J73" s="80" t="s">
        <v>202</v>
      </c>
      <c r="K73" s="80" t="s">
        <v>234</v>
      </c>
      <c r="L73" s="80" t="s">
        <v>55</v>
      </c>
      <c r="M73" s="80"/>
      <c r="N73" s="80"/>
      <c r="O73" s="80"/>
      <c r="P73" s="80" t="s">
        <v>10</v>
      </c>
    </row>
    <row r="74" spans="1:16" ht="52.5" x14ac:dyDescent="0.35">
      <c r="A74" s="78">
        <v>46099</v>
      </c>
      <c r="B74" s="79" t="s">
        <v>204</v>
      </c>
      <c r="C74" s="84" t="s">
        <v>126</v>
      </c>
      <c r="D74" s="80" t="s">
        <v>9</v>
      </c>
      <c r="E74" s="80" t="s">
        <v>79</v>
      </c>
      <c r="F74" s="80" t="s">
        <v>236</v>
      </c>
      <c r="G74" s="80" t="s">
        <v>205</v>
      </c>
      <c r="H74" s="80" t="s">
        <v>92</v>
      </c>
      <c r="I74" s="81">
        <v>8113</v>
      </c>
      <c r="J74" s="80" t="s">
        <v>53</v>
      </c>
      <c r="K74" s="80" t="s">
        <v>234</v>
      </c>
      <c r="L74" s="80" t="s">
        <v>55</v>
      </c>
      <c r="M74" s="80"/>
      <c r="N74" s="80"/>
      <c r="O74" s="80"/>
      <c r="P74" s="80" t="s">
        <v>10</v>
      </c>
    </row>
    <row r="75" spans="1:16" x14ac:dyDescent="0.35">
      <c r="A75" s="78">
        <v>46105</v>
      </c>
      <c r="B75" s="79" t="s">
        <v>207</v>
      </c>
      <c r="C75" s="84" t="s">
        <v>235</v>
      </c>
      <c r="D75" s="80" t="s">
        <v>9</v>
      </c>
      <c r="E75" s="80" t="s">
        <v>81</v>
      </c>
      <c r="F75" s="80" t="s">
        <v>115</v>
      </c>
      <c r="G75" s="80"/>
      <c r="H75" s="80" t="s">
        <v>92</v>
      </c>
      <c r="I75" s="81">
        <v>13570</v>
      </c>
      <c r="J75" s="80" t="s">
        <v>53</v>
      </c>
      <c r="K75" s="80" t="s">
        <v>234</v>
      </c>
      <c r="L75" s="80" t="s">
        <v>55</v>
      </c>
      <c r="M75" s="80"/>
      <c r="N75" s="80"/>
      <c r="O75" s="80"/>
      <c r="P75" s="80" t="s">
        <v>10</v>
      </c>
    </row>
    <row r="76" spans="1:16" ht="35" x14ac:dyDescent="0.35">
      <c r="A76" s="78">
        <v>46109</v>
      </c>
      <c r="B76" s="79" t="s">
        <v>210</v>
      </c>
      <c r="C76" s="80" t="s">
        <v>27</v>
      </c>
      <c r="D76" s="80" t="s">
        <v>9</v>
      </c>
      <c r="E76" s="80" t="s">
        <v>72</v>
      </c>
      <c r="F76" s="80" t="s">
        <v>73</v>
      </c>
      <c r="G76" s="80"/>
      <c r="H76" s="80" t="s">
        <v>92</v>
      </c>
      <c r="I76" s="81">
        <v>5000</v>
      </c>
      <c r="J76" s="80" t="s">
        <v>118</v>
      </c>
      <c r="K76" s="80" t="s">
        <v>234</v>
      </c>
      <c r="L76" s="80" t="s">
        <v>209</v>
      </c>
      <c r="M76" s="80"/>
      <c r="N76" s="80"/>
      <c r="O76" s="80"/>
      <c r="P76" s="80" t="s">
        <v>10</v>
      </c>
    </row>
    <row r="77" spans="1:16" x14ac:dyDescent="0.35">
      <c r="A77" s="78">
        <v>46114</v>
      </c>
      <c r="B77" s="79" t="s">
        <v>211</v>
      </c>
      <c r="C77" s="80" t="s">
        <v>127</v>
      </c>
      <c r="D77" s="80" t="s">
        <v>9</v>
      </c>
      <c r="E77" s="80" t="s">
        <v>81</v>
      </c>
      <c r="F77" s="80" t="s">
        <v>125</v>
      </c>
      <c r="G77" s="80" t="s">
        <v>117</v>
      </c>
      <c r="H77" s="80" t="s">
        <v>92</v>
      </c>
      <c r="I77" s="81">
        <v>646.88</v>
      </c>
      <c r="J77" s="80" t="s">
        <v>53</v>
      </c>
      <c r="K77" s="80" t="s">
        <v>234</v>
      </c>
      <c r="L77" s="80" t="s">
        <v>177</v>
      </c>
      <c r="M77" s="80"/>
      <c r="N77" s="80"/>
      <c r="O77" s="80"/>
      <c r="P77" s="80" t="s">
        <v>10</v>
      </c>
    </row>
    <row r="78" spans="1:16" x14ac:dyDescent="0.35">
      <c r="A78" s="78">
        <v>46117</v>
      </c>
      <c r="B78" s="82" t="s">
        <v>212</v>
      </c>
      <c r="C78" s="80" t="s">
        <v>42</v>
      </c>
      <c r="D78" s="80" t="s">
        <v>9</v>
      </c>
      <c r="E78" s="80" t="s">
        <v>81</v>
      </c>
      <c r="F78" s="80" t="s">
        <v>125</v>
      </c>
      <c r="G78" s="80"/>
      <c r="H78" s="80" t="s">
        <v>92</v>
      </c>
      <c r="I78" s="81">
        <v>4779</v>
      </c>
      <c r="J78" s="80" t="s">
        <v>53</v>
      </c>
      <c r="K78" s="80" t="s">
        <v>234</v>
      </c>
      <c r="L78" s="80" t="s">
        <v>60</v>
      </c>
      <c r="M78" s="80"/>
      <c r="N78" s="80"/>
      <c r="O78" s="80"/>
      <c r="P78" s="80" t="s">
        <v>10</v>
      </c>
    </row>
    <row r="79" spans="1:16" ht="87.5" x14ac:dyDescent="0.35">
      <c r="A79" s="78">
        <v>46117</v>
      </c>
      <c r="B79" s="79" t="s">
        <v>218</v>
      </c>
      <c r="C79" s="84" t="s">
        <v>214</v>
      </c>
      <c r="D79" s="80" t="s">
        <v>9</v>
      </c>
      <c r="E79" s="80" t="s">
        <v>81</v>
      </c>
      <c r="F79" s="80" t="s">
        <v>229</v>
      </c>
      <c r="G79" s="80"/>
      <c r="H79" s="80" t="s">
        <v>92</v>
      </c>
      <c r="I79" s="81">
        <v>9717.5</v>
      </c>
      <c r="J79" s="80" t="s">
        <v>53</v>
      </c>
      <c r="K79" s="80" t="s">
        <v>234</v>
      </c>
      <c r="L79" s="80" t="s">
        <v>154</v>
      </c>
      <c r="M79" s="83" t="s">
        <v>311</v>
      </c>
      <c r="N79" s="78">
        <v>46124</v>
      </c>
      <c r="O79" s="80"/>
      <c r="P79" s="80" t="s">
        <v>10</v>
      </c>
    </row>
    <row r="80" spans="1:16" ht="35" x14ac:dyDescent="0.35">
      <c r="A80" s="78">
        <v>46118</v>
      </c>
      <c r="B80" s="79" t="s">
        <v>213</v>
      </c>
      <c r="C80" s="84" t="s">
        <v>215</v>
      </c>
      <c r="D80" s="80" t="s">
        <v>9</v>
      </c>
      <c r="E80" s="80" t="s">
        <v>81</v>
      </c>
      <c r="F80" s="80" t="s">
        <v>125</v>
      </c>
      <c r="G80" s="80" t="s">
        <v>232</v>
      </c>
      <c r="H80" s="80" t="s">
        <v>92</v>
      </c>
      <c r="I80" s="81">
        <v>3542</v>
      </c>
      <c r="J80" s="80" t="s">
        <v>53</v>
      </c>
      <c r="K80" s="80" t="s">
        <v>234</v>
      </c>
      <c r="L80" s="80" t="s">
        <v>154</v>
      </c>
      <c r="M80" s="80"/>
      <c r="N80" s="80"/>
      <c r="O80" s="80"/>
      <c r="P80" s="80" t="s">
        <v>10</v>
      </c>
    </row>
    <row r="81" spans="1:16" s="85" customFormat="1" ht="70" x14ac:dyDescent="0.35">
      <c r="A81" s="78">
        <v>46120</v>
      </c>
      <c r="B81" s="79" t="s">
        <v>216</v>
      </c>
      <c r="C81" s="84" t="s">
        <v>126</v>
      </c>
      <c r="D81" s="80" t="s">
        <v>9</v>
      </c>
      <c r="E81" s="80" t="s">
        <v>79</v>
      </c>
      <c r="F81" s="80" t="s">
        <v>236</v>
      </c>
      <c r="G81" s="80" t="s">
        <v>217</v>
      </c>
      <c r="H81" s="80" t="s">
        <v>92</v>
      </c>
      <c r="I81" s="81">
        <v>5215.5</v>
      </c>
      <c r="J81" s="80" t="s">
        <v>53</v>
      </c>
      <c r="K81" s="80" t="s">
        <v>234</v>
      </c>
      <c r="L81" s="80" t="s">
        <v>55</v>
      </c>
      <c r="M81" s="80"/>
      <c r="N81" s="80"/>
      <c r="O81" s="80"/>
      <c r="P81" s="80" t="s">
        <v>10</v>
      </c>
    </row>
    <row r="82" spans="1:16" ht="52.5" x14ac:dyDescent="0.35">
      <c r="A82" s="78">
        <v>46120</v>
      </c>
      <c r="B82" s="79" t="s">
        <v>219</v>
      </c>
      <c r="C82" s="80" t="s">
        <v>220</v>
      </c>
      <c r="D82" s="80" t="s">
        <v>9</v>
      </c>
      <c r="E82" s="80" t="s">
        <v>81</v>
      </c>
      <c r="F82" s="80" t="s">
        <v>115</v>
      </c>
      <c r="G82" s="80"/>
      <c r="H82" s="80" t="s">
        <v>92</v>
      </c>
      <c r="I82" s="81">
        <v>-180</v>
      </c>
      <c r="J82" s="80" t="s">
        <v>53</v>
      </c>
      <c r="K82" s="80" t="s">
        <v>234</v>
      </c>
      <c r="L82" s="80" t="s">
        <v>174</v>
      </c>
      <c r="M82" s="80"/>
      <c r="N82" s="80"/>
      <c r="O82" s="80"/>
      <c r="P82" s="80" t="s">
        <v>10</v>
      </c>
    </row>
    <row r="83" spans="1:16" s="85" customFormat="1" x14ac:dyDescent="0.35">
      <c r="A83" s="78">
        <v>46123</v>
      </c>
      <c r="B83" s="82" t="s">
        <v>140</v>
      </c>
      <c r="C83" s="80" t="s">
        <v>108</v>
      </c>
      <c r="D83" s="80" t="s">
        <v>9</v>
      </c>
      <c r="E83" s="80" t="s">
        <v>81</v>
      </c>
      <c r="F83" s="80" t="s">
        <v>125</v>
      </c>
      <c r="G83" s="80" t="s">
        <v>140</v>
      </c>
      <c r="H83" s="80" t="s">
        <v>92</v>
      </c>
      <c r="I83" s="81">
        <v>90</v>
      </c>
      <c r="J83" s="80" t="s">
        <v>118</v>
      </c>
      <c r="K83" s="80" t="s">
        <v>234</v>
      </c>
      <c r="L83" s="80" t="s">
        <v>221</v>
      </c>
      <c r="M83" s="80"/>
      <c r="N83" s="80"/>
      <c r="O83" s="80"/>
      <c r="P83" s="80" t="s">
        <v>10</v>
      </c>
    </row>
    <row r="84" spans="1:16" x14ac:dyDescent="0.35">
      <c r="A84" s="78">
        <v>46123</v>
      </c>
      <c r="B84" s="82" t="s">
        <v>136</v>
      </c>
      <c r="C84" s="80" t="s">
        <v>27</v>
      </c>
      <c r="D84" s="80" t="s">
        <v>9</v>
      </c>
      <c r="E84" s="80" t="s">
        <v>72</v>
      </c>
      <c r="F84" s="80" t="s">
        <v>73</v>
      </c>
      <c r="G84" s="80"/>
      <c r="H84" s="80" t="s">
        <v>92</v>
      </c>
      <c r="I84" s="81">
        <v>10000</v>
      </c>
      <c r="J84" s="80" t="s">
        <v>118</v>
      </c>
      <c r="K84" s="80" t="s">
        <v>234</v>
      </c>
      <c r="L84" s="80" t="s">
        <v>221</v>
      </c>
      <c r="M84" s="83" t="s">
        <v>306</v>
      </c>
      <c r="N84" s="78">
        <v>46123</v>
      </c>
      <c r="O84" s="80"/>
      <c r="P84" s="80" t="s">
        <v>10</v>
      </c>
    </row>
    <row r="85" spans="1:16" x14ac:dyDescent="0.35">
      <c r="A85" s="78">
        <v>46125</v>
      </c>
      <c r="B85" s="82" t="s">
        <v>222</v>
      </c>
      <c r="C85" s="80" t="s">
        <v>166</v>
      </c>
      <c r="D85" s="80" t="s">
        <v>9</v>
      </c>
      <c r="E85" s="80" t="s">
        <v>81</v>
      </c>
      <c r="F85" s="80" t="s">
        <v>139</v>
      </c>
      <c r="G85" s="80"/>
      <c r="H85" s="80" t="s">
        <v>92</v>
      </c>
      <c r="I85" s="81">
        <v>1150</v>
      </c>
      <c r="J85" s="80" t="s">
        <v>53</v>
      </c>
      <c r="K85" s="80" t="s">
        <v>234</v>
      </c>
      <c r="L85" s="80" t="s">
        <v>61</v>
      </c>
      <c r="M85" s="80"/>
      <c r="N85" s="80"/>
      <c r="O85" s="80"/>
      <c r="P85" s="80" t="s">
        <v>10</v>
      </c>
    </row>
    <row r="86" spans="1:16" x14ac:dyDescent="0.35">
      <c r="A86" s="78">
        <v>46126</v>
      </c>
      <c r="B86" s="82" t="s">
        <v>223</v>
      </c>
      <c r="C86" s="80" t="s">
        <v>192</v>
      </c>
      <c r="D86" s="80" t="s">
        <v>9</v>
      </c>
      <c r="E86" s="80" t="s">
        <v>81</v>
      </c>
      <c r="F86" s="80" t="s">
        <v>125</v>
      </c>
      <c r="G86" s="80" t="s">
        <v>191</v>
      </c>
      <c r="H86" s="80" t="s">
        <v>92</v>
      </c>
      <c r="I86" s="81">
        <v>5115</v>
      </c>
      <c r="J86" s="80" t="s">
        <v>53</v>
      </c>
      <c r="K86" s="80" t="s">
        <v>234</v>
      </c>
      <c r="L86" s="80" t="s">
        <v>55</v>
      </c>
      <c r="M86" s="80"/>
      <c r="N86" s="80"/>
      <c r="O86" s="80"/>
      <c r="P86" s="80" t="s">
        <v>10</v>
      </c>
    </row>
    <row r="87" spans="1:16" ht="52.5" x14ac:dyDescent="0.35">
      <c r="A87" s="78">
        <v>46127</v>
      </c>
      <c r="B87" s="79" t="s">
        <v>224</v>
      </c>
      <c r="C87" s="84" t="s">
        <v>214</v>
      </c>
      <c r="D87" s="80" t="s">
        <v>9</v>
      </c>
      <c r="E87" s="80" t="s">
        <v>81</v>
      </c>
      <c r="F87" s="80" t="s">
        <v>229</v>
      </c>
      <c r="G87" s="80"/>
      <c r="H87" s="80" t="s">
        <v>92</v>
      </c>
      <c r="I87" s="81">
        <v>2443.75</v>
      </c>
      <c r="J87" s="80" t="s">
        <v>53</v>
      </c>
      <c r="K87" s="80" t="s">
        <v>234</v>
      </c>
      <c r="L87" s="80" t="s">
        <v>154</v>
      </c>
      <c r="M87" s="80"/>
      <c r="N87" s="80"/>
      <c r="O87" s="80"/>
      <c r="P87" s="80" t="s">
        <v>10</v>
      </c>
    </row>
    <row r="88" spans="1:16" ht="35" x14ac:dyDescent="0.35">
      <c r="A88" s="78">
        <v>46131</v>
      </c>
      <c r="B88" s="79" t="s">
        <v>228</v>
      </c>
      <c r="C88" s="84" t="s">
        <v>215</v>
      </c>
      <c r="D88" s="80" t="s">
        <v>9</v>
      </c>
      <c r="E88" s="80" t="s">
        <v>81</v>
      </c>
      <c r="F88" s="80" t="s">
        <v>125</v>
      </c>
      <c r="G88" s="80" t="s">
        <v>232</v>
      </c>
      <c r="H88" s="80" t="s">
        <v>92</v>
      </c>
      <c r="I88" s="81">
        <v>2656.5</v>
      </c>
      <c r="J88" s="80" t="s">
        <v>53</v>
      </c>
      <c r="K88" s="80" t="s">
        <v>234</v>
      </c>
      <c r="L88" s="80" t="s">
        <v>154</v>
      </c>
      <c r="M88" s="80"/>
      <c r="N88" s="80"/>
      <c r="O88" s="80"/>
      <c r="P88" s="80" t="s">
        <v>10</v>
      </c>
    </row>
    <row r="89" spans="1:16" x14ac:dyDescent="0.35">
      <c r="A89" s="78">
        <v>46131</v>
      </c>
      <c r="B89" s="79" t="s">
        <v>140</v>
      </c>
      <c r="C89" s="80" t="s">
        <v>108</v>
      </c>
      <c r="D89" s="80" t="s">
        <v>9</v>
      </c>
      <c r="E89" s="80" t="s">
        <v>81</v>
      </c>
      <c r="F89" s="80" t="s">
        <v>125</v>
      </c>
      <c r="G89" s="80" t="s">
        <v>140</v>
      </c>
      <c r="H89" s="80" t="s">
        <v>92</v>
      </c>
      <c r="I89" s="81">
        <v>90</v>
      </c>
      <c r="J89" s="80" t="s">
        <v>53</v>
      </c>
      <c r="K89" s="80" t="s">
        <v>234</v>
      </c>
      <c r="L89" s="80" t="s">
        <v>177</v>
      </c>
      <c r="M89" s="80"/>
      <c r="N89" s="80"/>
      <c r="O89" s="80"/>
      <c r="P89" s="80" t="s">
        <v>10</v>
      </c>
    </row>
    <row r="90" spans="1:16" ht="70" x14ac:dyDescent="0.35">
      <c r="A90" s="78">
        <v>46132</v>
      </c>
      <c r="B90" s="79" t="s">
        <v>245</v>
      </c>
      <c r="C90" s="84" t="s">
        <v>214</v>
      </c>
      <c r="D90" s="80" t="s">
        <v>9</v>
      </c>
      <c r="E90" s="80" t="s">
        <v>81</v>
      </c>
      <c r="F90" s="80" t="s">
        <v>229</v>
      </c>
      <c r="G90" s="80"/>
      <c r="H90" s="80" t="s">
        <v>92</v>
      </c>
      <c r="I90" s="81">
        <v>2875</v>
      </c>
      <c r="J90" s="80" t="s">
        <v>53</v>
      </c>
      <c r="K90" s="80" t="s">
        <v>234</v>
      </c>
      <c r="L90" s="80" t="s">
        <v>154</v>
      </c>
      <c r="M90" s="80"/>
      <c r="N90" s="80"/>
      <c r="O90" s="80"/>
      <c r="P90" s="80" t="s">
        <v>10</v>
      </c>
    </row>
    <row r="91" spans="1:16" ht="227.5" x14ac:dyDescent="0.35">
      <c r="A91" s="78">
        <v>46121</v>
      </c>
      <c r="B91" s="87" t="s">
        <v>246</v>
      </c>
      <c r="C91" s="80" t="s">
        <v>42</v>
      </c>
      <c r="D91" s="80" t="s">
        <v>9</v>
      </c>
      <c r="E91" s="80" t="s">
        <v>81</v>
      </c>
      <c r="F91" s="80" t="s">
        <v>125</v>
      </c>
      <c r="G91" s="80" t="s">
        <v>125</v>
      </c>
      <c r="H91" s="80" t="s">
        <v>92</v>
      </c>
      <c r="I91" s="81">
        <v>3760</v>
      </c>
      <c r="J91" s="80" t="s">
        <v>184</v>
      </c>
      <c r="K91" s="80" t="s">
        <v>234</v>
      </c>
      <c r="L91" s="80" t="s">
        <v>184</v>
      </c>
      <c r="M91" s="80">
        <v>1143</v>
      </c>
      <c r="N91" s="78">
        <v>46121</v>
      </c>
      <c r="O91" s="80"/>
      <c r="P91" s="80" t="s">
        <v>10</v>
      </c>
    </row>
    <row r="92" spans="1:16" ht="192.5" x14ac:dyDescent="0.35">
      <c r="A92" s="78">
        <v>46137</v>
      </c>
      <c r="B92" s="87" t="s">
        <v>247</v>
      </c>
      <c r="C92" s="80" t="s">
        <v>42</v>
      </c>
      <c r="D92" s="80" t="s">
        <v>9</v>
      </c>
      <c r="E92" s="80" t="s">
        <v>81</v>
      </c>
      <c r="F92" s="80" t="s">
        <v>125</v>
      </c>
      <c r="G92" s="80" t="s">
        <v>125</v>
      </c>
      <c r="H92" s="80" t="s">
        <v>92</v>
      </c>
      <c r="I92" s="81">
        <v>228</v>
      </c>
      <c r="J92" s="80" t="s">
        <v>184</v>
      </c>
      <c r="K92" s="80" t="s">
        <v>234</v>
      </c>
      <c r="L92" s="80" t="s">
        <v>184</v>
      </c>
      <c r="M92" s="80">
        <v>1372</v>
      </c>
      <c r="N92" s="78">
        <v>46137</v>
      </c>
      <c r="O92" s="80"/>
      <c r="P92" s="80" t="s">
        <v>10</v>
      </c>
    </row>
    <row r="93" spans="1:16" x14ac:dyDescent="0.35">
      <c r="A93" s="78">
        <v>46139</v>
      </c>
      <c r="B93" s="79" t="s">
        <v>248</v>
      </c>
      <c r="C93" s="80" t="s">
        <v>166</v>
      </c>
      <c r="D93" s="80" t="s">
        <v>9</v>
      </c>
      <c r="E93" s="80" t="s">
        <v>81</v>
      </c>
      <c r="F93" s="80" t="s">
        <v>139</v>
      </c>
      <c r="G93" s="80" t="s">
        <v>139</v>
      </c>
      <c r="H93" s="80" t="s">
        <v>92</v>
      </c>
      <c r="I93" s="81">
        <v>450</v>
      </c>
      <c r="J93" s="80" t="s">
        <v>53</v>
      </c>
      <c r="K93" s="80" t="s">
        <v>234</v>
      </c>
      <c r="L93" s="80" t="s">
        <v>61</v>
      </c>
      <c r="M93" s="80"/>
      <c r="N93" s="80"/>
      <c r="O93" s="80"/>
      <c r="P93" s="80" t="s">
        <v>10</v>
      </c>
    </row>
    <row r="94" spans="1:16" x14ac:dyDescent="0.35">
      <c r="A94" s="78">
        <v>46140</v>
      </c>
      <c r="B94" s="79" t="s">
        <v>249</v>
      </c>
      <c r="C94" s="80" t="s">
        <v>250</v>
      </c>
      <c r="D94" s="80" t="s">
        <v>9</v>
      </c>
      <c r="E94" s="80" t="s">
        <v>81</v>
      </c>
      <c r="F94" s="80" t="s">
        <v>229</v>
      </c>
      <c r="G94" s="80" t="s">
        <v>229</v>
      </c>
      <c r="H94" s="80" t="s">
        <v>92</v>
      </c>
      <c r="I94" s="81">
        <v>200</v>
      </c>
      <c r="J94" s="80" t="s">
        <v>53</v>
      </c>
      <c r="K94" s="80" t="s">
        <v>234</v>
      </c>
      <c r="L94" s="80" t="s">
        <v>61</v>
      </c>
      <c r="M94" s="80"/>
      <c r="N94" s="80"/>
      <c r="O94" s="80"/>
      <c r="P94" s="80" t="s">
        <v>10</v>
      </c>
    </row>
    <row r="95" spans="1:16" ht="70" x14ac:dyDescent="0.35">
      <c r="A95" s="78">
        <v>46145</v>
      </c>
      <c r="B95" s="79" t="s">
        <v>251</v>
      </c>
      <c r="C95" s="84" t="s">
        <v>214</v>
      </c>
      <c r="D95" s="80" t="s">
        <v>9</v>
      </c>
      <c r="E95" s="80" t="s">
        <v>81</v>
      </c>
      <c r="F95" s="80" t="s">
        <v>229</v>
      </c>
      <c r="G95" s="80"/>
      <c r="H95" s="80" t="s">
        <v>92</v>
      </c>
      <c r="I95" s="81">
        <v>2478.25</v>
      </c>
      <c r="J95" s="80" t="s">
        <v>53</v>
      </c>
      <c r="K95" s="80" t="s">
        <v>234</v>
      </c>
      <c r="L95" s="80" t="s">
        <v>154</v>
      </c>
      <c r="M95" s="80"/>
      <c r="N95" s="80"/>
      <c r="O95" s="80"/>
      <c r="P95" s="80" t="s">
        <v>10</v>
      </c>
    </row>
    <row r="96" spans="1:16" s="85" customFormat="1" ht="70" x14ac:dyDescent="0.35">
      <c r="A96" s="78">
        <v>46145</v>
      </c>
      <c r="B96" s="79" t="s">
        <v>254</v>
      </c>
      <c r="C96" s="84" t="s">
        <v>126</v>
      </c>
      <c r="D96" s="80" t="s">
        <v>9</v>
      </c>
      <c r="E96" s="80" t="s">
        <v>79</v>
      </c>
      <c r="F96" s="80" t="s">
        <v>236</v>
      </c>
      <c r="G96" s="80" t="s">
        <v>217</v>
      </c>
      <c r="H96" s="80" t="s">
        <v>92</v>
      </c>
      <c r="I96" s="81">
        <v>2897.5</v>
      </c>
      <c r="J96" s="80" t="s">
        <v>53</v>
      </c>
      <c r="K96" s="80" t="s">
        <v>234</v>
      </c>
      <c r="L96" s="80" t="s">
        <v>55</v>
      </c>
      <c r="M96" s="80"/>
      <c r="N96" s="80"/>
      <c r="O96" s="80"/>
      <c r="P96" s="80" t="s">
        <v>10</v>
      </c>
    </row>
    <row r="97" spans="1:16" s="85" customFormat="1" ht="70" x14ac:dyDescent="0.35">
      <c r="A97" s="78">
        <v>46152</v>
      </c>
      <c r="B97" s="79" t="s">
        <v>256</v>
      </c>
      <c r="C97" s="84" t="s">
        <v>126</v>
      </c>
      <c r="D97" s="80" t="s">
        <v>9</v>
      </c>
      <c r="E97" s="80" t="s">
        <v>79</v>
      </c>
      <c r="F97" s="80" t="s">
        <v>236</v>
      </c>
      <c r="G97" s="80" t="s">
        <v>217</v>
      </c>
      <c r="H97" s="80" t="s">
        <v>92</v>
      </c>
      <c r="I97" s="81">
        <v>1738.5</v>
      </c>
      <c r="J97" s="80" t="s">
        <v>53</v>
      </c>
      <c r="K97" s="80" t="s">
        <v>234</v>
      </c>
      <c r="L97" s="80" t="s">
        <v>55</v>
      </c>
      <c r="M97" s="80"/>
      <c r="N97" s="80"/>
      <c r="O97" s="80"/>
      <c r="P97" s="80" t="s">
        <v>10</v>
      </c>
    </row>
    <row r="98" spans="1:16" x14ac:dyDescent="0.35">
      <c r="A98" s="78">
        <v>46153</v>
      </c>
      <c r="B98" s="82" t="s">
        <v>100</v>
      </c>
      <c r="C98" s="80" t="s">
        <v>27</v>
      </c>
      <c r="D98" s="80" t="s">
        <v>9</v>
      </c>
      <c r="E98" s="80" t="s">
        <v>72</v>
      </c>
      <c r="F98" s="80" t="s">
        <v>73</v>
      </c>
      <c r="G98" s="80"/>
      <c r="H98" s="80" t="s">
        <v>92</v>
      </c>
      <c r="I98" s="81">
        <v>10000</v>
      </c>
      <c r="J98" s="80"/>
      <c r="K98" s="80" t="s">
        <v>234</v>
      </c>
      <c r="L98" s="80"/>
      <c r="M98" s="80"/>
      <c r="N98" s="80"/>
      <c r="O98" s="80"/>
      <c r="P98" s="80" t="s">
        <v>10</v>
      </c>
    </row>
    <row r="99" spans="1:16" ht="70" x14ac:dyDescent="0.35">
      <c r="A99" s="78">
        <v>46155</v>
      </c>
      <c r="B99" s="79" t="s">
        <v>251</v>
      </c>
      <c r="C99" s="84" t="s">
        <v>214</v>
      </c>
      <c r="D99" s="80" t="s">
        <v>9</v>
      </c>
      <c r="E99" s="80" t="s">
        <v>81</v>
      </c>
      <c r="F99" s="80" t="s">
        <v>229</v>
      </c>
      <c r="G99" s="80"/>
      <c r="H99" s="80" t="s">
        <v>92</v>
      </c>
      <c r="I99" s="81">
        <v>2478.25</v>
      </c>
      <c r="J99" s="80" t="s">
        <v>53</v>
      </c>
      <c r="K99" s="80" t="s">
        <v>234</v>
      </c>
      <c r="L99" s="80" t="s">
        <v>154</v>
      </c>
      <c r="M99" s="80"/>
      <c r="N99" s="80"/>
      <c r="O99" s="80"/>
      <c r="P99" s="80" t="s">
        <v>10</v>
      </c>
    </row>
    <row r="100" spans="1:16" x14ac:dyDescent="0.35">
      <c r="A100" s="78">
        <v>46155</v>
      </c>
      <c r="B100" s="79" t="s">
        <v>262</v>
      </c>
      <c r="C100" s="80" t="s">
        <v>166</v>
      </c>
      <c r="D100" s="80" t="s">
        <v>9</v>
      </c>
      <c r="E100" s="80" t="s">
        <v>81</v>
      </c>
      <c r="F100" s="80" t="s">
        <v>139</v>
      </c>
      <c r="G100" s="80" t="s">
        <v>139</v>
      </c>
      <c r="H100" s="80" t="s">
        <v>92</v>
      </c>
      <c r="I100" s="81">
        <v>216</v>
      </c>
      <c r="J100" s="80" t="s">
        <v>53</v>
      </c>
      <c r="K100" s="80" t="s">
        <v>234</v>
      </c>
      <c r="L100" s="80" t="s">
        <v>61</v>
      </c>
      <c r="M100" s="80"/>
      <c r="N100" s="80"/>
      <c r="O100" s="80"/>
      <c r="P100" s="80" t="s">
        <v>10</v>
      </c>
    </row>
    <row r="101" spans="1:16" x14ac:dyDescent="0.35">
      <c r="A101" s="78">
        <v>46155</v>
      </c>
      <c r="B101" s="79" t="s">
        <v>263</v>
      </c>
      <c r="C101" s="80" t="s">
        <v>108</v>
      </c>
      <c r="D101" s="80" t="s">
        <v>9</v>
      </c>
      <c r="E101" s="80" t="s">
        <v>81</v>
      </c>
      <c r="F101" s="80" t="s">
        <v>139</v>
      </c>
      <c r="G101" s="80" t="s">
        <v>139</v>
      </c>
      <c r="H101" s="80" t="s">
        <v>92</v>
      </c>
      <c r="I101" s="81">
        <v>90</v>
      </c>
      <c r="J101" s="80" t="s">
        <v>53</v>
      </c>
      <c r="K101" s="80" t="s">
        <v>234</v>
      </c>
      <c r="L101" s="80" t="s">
        <v>177</v>
      </c>
      <c r="M101" s="80"/>
      <c r="N101" s="80"/>
      <c r="O101" s="80"/>
      <c r="P101" s="80" t="s">
        <v>10</v>
      </c>
    </row>
    <row r="102" spans="1:16" ht="140" x14ac:dyDescent="0.35">
      <c r="A102" s="78">
        <v>46161</v>
      </c>
      <c r="B102" s="79" t="s">
        <v>264</v>
      </c>
      <c r="C102" s="84" t="s">
        <v>235</v>
      </c>
      <c r="D102" s="80" t="s">
        <v>9</v>
      </c>
      <c r="E102" s="80" t="s">
        <v>81</v>
      </c>
      <c r="F102" s="80" t="s">
        <v>115</v>
      </c>
      <c r="G102" s="80"/>
      <c r="H102" s="80" t="s">
        <v>92</v>
      </c>
      <c r="I102" s="81">
        <v>43970</v>
      </c>
      <c r="J102" s="80" t="s">
        <v>53</v>
      </c>
      <c r="K102" s="80" t="s">
        <v>234</v>
      </c>
      <c r="L102" s="80" t="s">
        <v>55</v>
      </c>
      <c r="M102" s="80" t="s">
        <v>308</v>
      </c>
      <c r="N102" s="78">
        <v>46162</v>
      </c>
      <c r="O102" s="80"/>
      <c r="P102" s="80" t="s">
        <v>10</v>
      </c>
    </row>
    <row r="103" spans="1:16" x14ac:dyDescent="0.35">
      <c r="A103" s="78">
        <v>46173</v>
      </c>
      <c r="B103" s="79" t="s">
        <v>265</v>
      </c>
      <c r="C103" s="84" t="s">
        <v>235</v>
      </c>
      <c r="D103" s="80" t="s">
        <v>9</v>
      </c>
      <c r="E103" s="80" t="s">
        <v>81</v>
      </c>
      <c r="F103" s="80" t="s">
        <v>196</v>
      </c>
      <c r="G103" s="80" t="s">
        <v>196</v>
      </c>
      <c r="H103" s="80" t="s">
        <v>92</v>
      </c>
      <c r="I103" s="81">
        <v>2550</v>
      </c>
      <c r="J103" s="80" t="s">
        <v>53</v>
      </c>
      <c r="K103" s="80" t="s">
        <v>234</v>
      </c>
      <c r="L103" s="80" t="s">
        <v>55</v>
      </c>
      <c r="M103" s="80" t="s">
        <v>309</v>
      </c>
      <c r="N103" s="78">
        <v>46174</v>
      </c>
      <c r="O103" s="80"/>
      <c r="P103" s="80" t="s">
        <v>10</v>
      </c>
    </row>
    <row r="104" spans="1:16" ht="52.5" x14ac:dyDescent="0.35">
      <c r="A104" s="78">
        <v>46173</v>
      </c>
      <c r="B104" s="79" t="s">
        <v>266</v>
      </c>
      <c r="C104" s="84" t="s">
        <v>215</v>
      </c>
      <c r="D104" s="80" t="s">
        <v>9</v>
      </c>
      <c r="E104" s="80" t="s">
        <v>81</v>
      </c>
      <c r="F104" s="80" t="s">
        <v>125</v>
      </c>
      <c r="G104" s="80" t="s">
        <v>232</v>
      </c>
      <c r="H104" s="80" t="s">
        <v>92</v>
      </c>
      <c r="I104" s="81">
        <v>9775.92</v>
      </c>
      <c r="J104" s="80" t="s">
        <v>53</v>
      </c>
      <c r="K104" s="80" t="s">
        <v>234</v>
      </c>
      <c r="L104" s="80" t="s">
        <v>154</v>
      </c>
      <c r="M104" s="80"/>
      <c r="N104" s="80"/>
      <c r="O104" s="80"/>
      <c r="P104" s="80" t="s">
        <v>10</v>
      </c>
    </row>
    <row r="105" spans="1:16" x14ac:dyDescent="0.35">
      <c r="A105" s="78">
        <v>46179</v>
      </c>
      <c r="B105" s="79" t="s">
        <v>267</v>
      </c>
      <c r="C105" s="80" t="s">
        <v>166</v>
      </c>
      <c r="D105" s="80" t="s">
        <v>9</v>
      </c>
      <c r="E105" s="80" t="s">
        <v>268</v>
      </c>
      <c r="F105" s="80" t="s">
        <v>268</v>
      </c>
      <c r="G105" s="80" t="s">
        <v>268</v>
      </c>
      <c r="H105" s="80" t="s">
        <v>268</v>
      </c>
      <c r="I105" s="81">
        <v>150</v>
      </c>
      <c r="J105" s="80" t="s">
        <v>53</v>
      </c>
      <c r="K105" s="80" t="s">
        <v>234</v>
      </c>
      <c r="L105" s="80" t="s">
        <v>61</v>
      </c>
      <c r="M105" s="80"/>
      <c r="N105" s="80"/>
      <c r="O105" s="80"/>
      <c r="P105" s="80" t="s">
        <v>10</v>
      </c>
    </row>
    <row r="106" spans="1:16" x14ac:dyDescent="0.35">
      <c r="A106" s="78">
        <v>46180</v>
      </c>
      <c r="B106" s="82" t="s">
        <v>86</v>
      </c>
      <c r="C106" s="80" t="s">
        <v>25</v>
      </c>
      <c r="D106" s="80" t="s">
        <v>9</v>
      </c>
      <c r="E106" s="80" t="s">
        <v>77</v>
      </c>
      <c r="F106" s="80" t="s">
        <v>109</v>
      </c>
      <c r="G106" s="80"/>
      <c r="H106" s="80" t="s">
        <v>92</v>
      </c>
      <c r="I106" s="81">
        <v>4025</v>
      </c>
      <c r="J106" s="80" t="s">
        <v>53</v>
      </c>
      <c r="K106" s="80" t="s">
        <v>234</v>
      </c>
      <c r="L106" s="80" t="s">
        <v>154</v>
      </c>
      <c r="M106" s="80"/>
      <c r="N106" s="80"/>
      <c r="O106" s="80"/>
      <c r="P106" s="80" t="s">
        <v>10</v>
      </c>
    </row>
    <row r="107" spans="1:16" s="85" customFormat="1" ht="70" x14ac:dyDescent="0.35">
      <c r="A107" s="78">
        <v>46181</v>
      </c>
      <c r="B107" s="79" t="s">
        <v>275</v>
      </c>
      <c r="C107" s="84" t="s">
        <v>126</v>
      </c>
      <c r="D107" s="80" t="s">
        <v>9</v>
      </c>
      <c r="E107" s="80" t="s">
        <v>79</v>
      </c>
      <c r="F107" s="80" t="s">
        <v>236</v>
      </c>
      <c r="G107" s="80" t="s">
        <v>270</v>
      </c>
      <c r="H107" s="80" t="s">
        <v>92</v>
      </c>
      <c r="I107" s="81">
        <v>27816</v>
      </c>
      <c r="J107" s="80" t="s">
        <v>53</v>
      </c>
      <c r="K107" s="80" t="s">
        <v>234</v>
      </c>
      <c r="L107" s="80" t="s">
        <v>55</v>
      </c>
      <c r="M107" s="80"/>
      <c r="N107" s="80"/>
      <c r="O107" s="80"/>
      <c r="P107" s="80" t="s">
        <v>10</v>
      </c>
    </row>
    <row r="108" spans="1:16" s="85" customFormat="1" ht="52.5" x14ac:dyDescent="0.35">
      <c r="A108" s="78">
        <v>46181</v>
      </c>
      <c r="B108" s="79" t="s">
        <v>274</v>
      </c>
      <c r="C108" s="84" t="s">
        <v>126</v>
      </c>
      <c r="D108" s="80" t="s">
        <v>9</v>
      </c>
      <c r="E108" s="80" t="s">
        <v>79</v>
      </c>
      <c r="F108" s="80" t="s">
        <v>236</v>
      </c>
      <c r="G108" s="80" t="s">
        <v>270</v>
      </c>
      <c r="H108" s="80" t="s">
        <v>92</v>
      </c>
      <c r="I108" s="81">
        <v>552</v>
      </c>
      <c r="J108" s="80" t="s">
        <v>53</v>
      </c>
      <c r="K108" s="80" t="s">
        <v>234</v>
      </c>
      <c r="L108" s="80" t="s">
        <v>55</v>
      </c>
      <c r="M108" s="80"/>
      <c r="N108" s="80"/>
      <c r="O108" s="80"/>
      <c r="P108" s="80" t="s">
        <v>10</v>
      </c>
    </row>
    <row r="109" spans="1:16" ht="52.5" x14ac:dyDescent="0.35">
      <c r="A109" s="78">
        <v>46181</v>
      </c>
      <c r="B109" s="79" t="s">
        <v>276</v>
      </c>
      <c r="C109" s="84" t="s">
        <v>235</v>
      </c>
      <c r="D109" s="80" t="s">
        <v>9</v>
      </c>
      <c r="E109" s="80" t="s">
        <v>81</v>
      </c>
      <c r="F109" s="80" t="s">
        <v>115</v>
      </c>
      <c r="G109" s="80"/>
      <c r="H109" s="80" t="s">
        <v>92</v>
      </c>
      <c r="I109" s="81">
        <v>17422</v>
      </c>
      <c r="J109" s="80" t="s">
        <v>53</v>
      </c>
      <c r="K109" s="80" t="s">
        <v>234</v>
      </c>
      <c r="L109" s="80" t="s">
        <v>55</v>
      </c>
      <c r="M109" s="80" t="s">
        <v>310</v>
      </c>
      <c r="N109" s="78">
        <v>46183</v>
      </c>
      <c r="O109" s="80"/>
      <c r="P109" s="80" t="s">
        <v>10</v>
      </c>
    </row>
    <row r="110" spans="1:16" x14ac:dyDescent="0.35">
      <c r="A110" s="78">
        <v>46182</v>
      </c>
      <c r="B110" s="82" t="s">
        <v>101</v>
      </c>
      <c r="C110" s="80" t="s">
        <v>27</v>
      </c>
      <c r="D110" s="80" t="s">
        <v>9</v>
      </c>
      <c r="E110" s="80" t="s">
        <v>72</v>
      </c>
      <c r="F110" s="80" t="s">
        <v>73</v>
      </c>
      <c r="G110" s="80"/>
      <c r="H110" s="80" t="s">
        <v>92</v>
      </c>
      <c r="I110" s="81">
        <v>20000</v>
      </c>
      <c r="J110" s="80"/>
      <c r="K110" s="80" t="s">
        <v>234</v>
      </c>
      <c r="L110" s="80" t="s">
        <v>221</v>
      </c>
      <c r="M110" s="80"/>
      <c r="N110" s="80"/>
      <c r="O110" s="80"/>
      <c r="P110" s="80" t="s">
        <v>10</v>
      </c>
    </row>
    <row r="111" spans="1:16" x14ac:dyDescent="0.35">
      <c r="A111" s="78">
        <v>46182</v>
      </c>
      <c r="B111" s="82" t="s">
        <v>277</v>
      </c>
      <c r="C111" s="80" t="s">
        <v>27</v>
      </c>
      <c r="D111" s="80" t="s">
        <v>9</v>
      </c>
      <c r="E111" s="80" t="s">
        <v>72</v>
      </c>
      <c r="F111" s="80" t="s">
        <v>73</v>
      </c>
      <c r="G111" s="80"/>
      <c r="H111" s="80" t="s">
        <v>92</v>
      </c>
      <c r="I111" s="81">
        <v>500</v>
      </c>
      <c r="J111" s="80"/>
      <c r="K111" s="80" t="s">
        <v>234</v>
      </c>
      <c r="L111" s="80" t="s">
        <v>221</v>
      </c>
      <c r="M111" s="80"/>
      <c r="N111" s="80"/>
      <c r="O111" s="80"/>
      <c r="P111" s="80" t="s">
        <v>10</v>
      </c>
    </row>
    <row r="112" spans="1:16" x14ac:dyDescent="0.35">
      <c r="A112" s="78">
        <v>46183</v>
      </c>
      <c r="B112" s="82" t="s">
        <v>278</v>
      </c>
      <c r="C112" s="80" t="s">
        <v>279</v>
      </c>
      <c r="D112" s="80" t="s">
        <v>9</v>
      </c>
      <c r="E112" s="80" t="s">
        <v>81</v>
      </c>
      <c r="F112" s="80" t="s">
        <v>125</v>
      </c>
      <c r="G112" s="80" t="s">
        <v>117</v>
      </c>
      <c r="H112" s="80" t="s">
        <v>92</v>
      </c>
      <c r="I112" s="81">
        <v>258.75</v>
      </c>
      <c r="J112" s="80" t="s">
        <v>280</v>
      </c>
      <c r="K112" s="80" t="s">
        <v>234</v>
      </c>
      <c r="L112" s="80" t="s">
        <v>131</v>
      </c>
      <c r="M112" s="80"/>
      <c r="N112" s="80"/>
      <c r="O112" s="80"/>
      <c r="P112" s="80" t="s">
        <v>10</v>
      </c>
    </row>
    <row r="113" spans="1:16" x14ac:dyDescent="0.35">
      <c r="A113" s="78">
        <v>46188</v>
      </c>
      <c r="B113" s="82" t="s">
        <v>281</v>
      </c>
      <c r="C113" s="80" t="s">
        <v>42</v>
      </c>
      <c r="D113" s="80" t="s">
        <v>9</v>
      </c>
      <c r="E113" s="80" t="s">
        <v>81</v>
      </c>
      <c r="F113" s="80" t="s">
        <v>125</v>
      </c>
      <c r="G113" s="80" t="s">
        <v>125</v>
      </c>
      <c r="H113" s="80" t="s">
        <v>51</v>
      </c>
      <c r="I113" s="81">
        <v>3598</v>
      </c>
      <c r="J113" s="80" t="s">
        <v>53</v>
      </c>
      <c r="K113" s="80" t="s">
        <v>234</v>
      </c>
      <c r="L113" s="80" t="s">
        <v>60</v>
      </c>
      <c r="M113" s="80"/>
      <c r="N113" s="80"/>
      <c r="O113" s="80"/>
      <c r="P113" s="80" t="s">
        <v>10</v>
      </c>
    </row>
    <row r="114" spans="1:16" s="85" customFormat="1" ht="70" x14ac:dyDescent="0.35">
      <c r="A114" s="78">
        <v>46190</v>
      </c>
      <c r="B114" s="79" t="s">
        <v>286</v>
      </c>
      <c r="C114" s="84" t="s">
        <v>126</v>
      </c>
      <c r="D114" s="80" t="s">
        <v>9</v>
      </c>
      <c r="E114" s="80" t="s">
        <v>79</v>
      </c>
      <c r="F114" s="80" t="s">
        <v>236</v>
      </c>
      <c r="G114" s="80" t="s">
        <v>283</v>
      </c>
      <c r="H114" s="80" t="s">
        <v>92</v>
      </c>
      <c r="I114" s="81">
        <v>4346.25</v>
      </c>
      <c r="J114" s="80" t="s">
        <v>53</v>
      </c>
      <c r="K114" s="80" t="s">
        <v>234</v>
      </c>
      <c r="L114" s="80" t="s">
        <v>55</v>
      </c>
      <c r="M114" s="80"/>
      <c r="N114" s="80"/>
      <c r="O114" s="80"/>
      <c r="P114" s="80" t="s">
        <v>10</v>
      </c>
    </row>
    <row r="115" spans="1:16" s="85" customFormat="1" ht="52.5" x14ac:dyDescent="0.35">
      <c r="A115" s="78">
        <v>46190</v>
      </c>
      <c r="B115" s="79" t="s">
        <v>295</v>
      </c>
      <c r="C115" s="84" t="s">
        <v>126</v>
      </c>
      <c r="D115" s="80" t="s">
        <v>9</v>
      </c>
      <c r="E115" s="80" t="s">
        <v>79</v>
      </c>
      <c r="F115" s="80" t="s">
        <v>236</v>
      </c>
      <c r="G115" s="80" t="s">
        <v>283</v>
      </c>
      <c r="H115" s="80" t="s">
        <v>92</v>
      </c>
      <c r="I115" s="81">
        <v>86.25</v>
      </c>
      <c r="J115" s="80" t="s">
        <v>53</v>
      </c>
      <c r="K115" s="80" t="s">
        <v>234</v>
      </c>
      <c r="L115" s="80" t="s">
        <v>55</v>
      </c>
      <c r="M115" s="80"/>
      <c r="N115" s="80"/>
      <c r="O115" s="80"/>
      <c r="P115" s="80" t="s">
        <v>10</v>
      </c>
    </row>
    <row r="116" spans="1:16" x14ac:dyDescent="0.35">
      <c r="A116" s="78">
        <v>46191</v>
      </c>
      <c r="B116" s="82" t="s">
        <v>102</v>
      </c>
      <c r="C116" s="80" t="s">
        <v>27</v>
      </c>
      <c r="D116" s="80" t="s">
        <v>9</v>
      </c>
      <c r="E116" s="80" t="s">
        <v>72</v>
      </c>
      <c r="F116" s="80" t="s">
        <v>73</v>
      </c>
      <c r="G116" s="80"/>
      <c r="H116" s="80" t="s">
        <v>92</v>
      </c>
      <c r="I116" s="81">
        <v>10000</v>
      </c>
      <c r="J116" s="80" t="s">
        <v>118</v>
      </c>
      <c r="K116" s="80" t="s">
        <v>234</v>
      </c>
      <c r="L116" s="80" t="s">
        <v>221</v>
      </c>
      <c r="M116" s="80"/>
      <c r="N116" s="80"/>
      <c r="O116" s="80"/>
      <c r="P116" s="80" t="s">
        <v>10</v>
      </c>
    </row>
    <row r="117" spans="1:16" ht="70" x14ac:dyDescent="0.35">
      <c r="A117" s="78">
        <v>46196</v>
      </c>
      <c r="B117" s="79" t="s">
        <v>288</v>
      </c>
      <c r="C117" s="84" t="s">
        <v>214</v>
      </c>
      <c r="D117" s="80" t="s">
        <v>9</v>
      </c>
      <c r="E117" s="80" t="s">
        <v>81</v>
      </c>
      <c r="F117" s="80" t="s">
        <v>229</v>
      </c>
      <c r="G117" s="80"/>
      <c r="H117" s="80" t="s">
        <v>92</v>
      </c>
      <c r="I117" s="81">
        <v>7417.5</v>
      </c>
      <c r="J117" s="80" t="s">
        <v>53</v>
      </c>
      <c r="K117" s="80" t="s">
        <v>234</v>
      </c>
      <c r="L117" s="80" t="s">
        <v>154</v>
      </c>
      <c r="M117" s="80"/>
      <c r="N117" s="80"/>
      <c r="O117" s="80"/>
      <c r="P117" s="80" t="s">
        <v>10</v>
      </c>
    </row>
    <row r="118" spans="1:16" x14ac:dyDescent="0.35">
      <c r="A118" s="78">
        <v>46196</v>
      </c>
      <c r="B118" s="82" t="s">
        <v>289</v>
      </c>
      <c r="C118" s="80" t="s">
        <v>192</v>
      </c>
      <c r="D118" s="80" t="s">
        <v>9</v>
      </c>
      <c r="E118" s="80" t="s">
        <v>81</v>
      </c>
      <c r="F118" s="80" t="s">
        <v>125</v>
      </c>
      <c r="G118" s="80" t="s">
        <v>191</v>
      </c>
      <c r="H118" s="80" t="s">
        <v>92</v>
      </c>
      <c r="I118" s="81">
        <v>2079</v>
      </c>
      <c r="J118" s="80" t="s">
        <v>53</v>
      </c>
      <c r="K118" s="80" t="s">
        <v>234</v>
      </c>
      <c r="L118" s="80" t="s">
        <v>55</v>
      </c>
      <c r="M118" s="80"/>
      <c r="N118" s="80"/>
      <c r="O118" s="80"/>
      <c r="P118" s="80" t="s">
        <v>10</v>
      </c>
    </row>
    <row r="119" spans="1:16" s="85" customFormat="1" ht="70" x14ac:dyDescent="0.35">
      <c r="A119" s="78">
        <v>46197</v>
      </c>
      <c r="B119" s="79" t="s">
        <v>294</v>
      </c>
      <c r="C119" s="84" t="s">
        <v>126</v>
      </c>
      <c r="D119" s="80" t="s">
        <v>9</v>
      </c>
      <c r="E119" s="80" t="s">
        <v>79</v>
      </c>
      <c r="F119" s="80" t="s">
        <v>236</v>
      </c>
      <c r="G119" s="80" t="s">
        <v>283</v>
      </c>
      <c r="H119" s="80" t="s">
        <v>92</v>
      </c>
      <c r="I119" s="81">
        <v>2897.5</v>
      </c>
      <c r="J119" s="80" t="s">
        <v>53</v>
      </c>
      <c r="K119" s="80" t="s">
        <v>234</v>
      </c>
      <c r="L119" s="80" t="s">
        <v>55</v>
      </c>
      <c r="M119" s="80"/>
      <c r="N119" s="80"/>
      <c r="O119" s="80"/>
      <c r="P119" s="80" t="s">
        <v>10</v>
      </c>
    </row>
    <row r="120" spans="1:16" x14ac:dyDescent="0.35">
      <c r="A120" s="78">
        <v>46198</v>
      </c>
      <c r="B120" s="79" t="s">
        <v>297</v>
      </c>
      <c r="C120" s="80" t="s">
        <v>166</v>
      </c>
      <c r="D120" s="80" t="s">
        <v>9</v>
      </c>
      <c r="E120" s="80" t="s">
        <v>81</v>
      </c>
      <c r="F120" s="80" t="s">
        <v>139</v>
      </c>
      <c r="G120" s="80" t="s">
        <v>139</v>
      </c>
      <c r="H120" s="80" t="s">
        <v>92</v>
      </c>
      <c r="I120" s="81">
        <v>1080</v>
      </c>
      <c r="J120" s="80" t="s">
        <v>53</v>
      </c>
      <c r="K120" s="80" t="s">
        <v>234</v>
      </c>
      <c r="L120" s="80" t="s">
        <v>61</v>
      </c>
      <c r="M120" s="80"/>
      <c r="N120" s="80"/>
      <c r="O120" s="80"/>
      <c r="P120" s="80" t="s">
        <v>10</v>
      </c>
    </row>
    <row r="121" spans="1:16" x14ac:dyDescent="0.35">
      <c r="A121" s="78">
        <v>46198</v>
      </c>
      <c r="B121" s="79" t="s">
        <v>298</v>
      </c>
      <c r="C121" s="80" t="s">
        <v>166</v>
      </c>
      <c r="D121" s="80" t="s">
        <v>9</v>
      </c>
      <c r="E121" s="80" t="s">
        <v>268</v>
      </c>
      <c r="F121" s="80" t="s">
        <v>268</v>
      </c>
      <c r="G121" s="80" t="s">
        <v>268</v>
      </c>
      <c r="H121" s="80" t="s">
        <v>92</v>
      </c>
      <c r="I121" s="81">
        <v>270</v>
      </c>
      <c r="J121" s="80" t="s">
        <v>53</v>
      </c>
      <c r="K121" s="80" t="s">
        <v>234</v>
      </c>
      <c r="L121" s="80" t="s">
        <v>61</v>
      </c>
      <c r="M121" s="80"/>
      <c r="N121" s="80"/>
      <c r="O121" s="80"/>
      <c r="P121" s="80" t="s">
        <v>10</v>
      </c>
    </row>
    <row r="122" spans="1:16" ht="52.5" x14ac:dyDescent="0.35">
      <c r="A122" s="78">
        <v>46200</v>
      </c>
      <c r="B122" s="79" t="s">
        <v>290</v>
      </c>
      <c r="C122" s="84" t="s">
        <v>214</v>
      </c>
      <c r="D122" s="80" t="s">
        <v>9</v>
      </c>
      <c r="E122" s="80" t="s">
        <v>81</v>
      </c>
      <c r="F122" s="80" t="s">
        <v>229</v>
      </c>
      <c r="G122" s="80"/>
      <c r="H122" s="80" t="s">
        <v>92</v>
      </c>
      <c r="I122" s="81">
        <v>2443.75</v>
      </c>
      <c r="J122" s="80" t="s">
        <v>53</v>
      </c>
      <c r="K122" s="80" t="s">
        <v>234</v>
      </c>
      <c r="L122" s="80" t="s">
        <v>154</v>
      </c>
      <c r="M122" s="80"/>
      <c r="N122" s="80"/>
      <c r="O122" s="80"/>
      <c r="P122" s="80" t="s">
        <v>10</v>
      </c>
    </row>
    <row r="123" spans="1:16" ht="52.5" x14ac:dyDescent="0.35">
      <c r="A123" s="78">
        <v>46205</v>
      </c>
      <c r="B123" s="79" t="s">
        <v>312</v>
      </c>
      <c r="C123" s="84" t="s">
        <v>214</v>
      </c>
      <c r="D123" s="80" t="s">
        <v>9</v>
      </c>
      <c r="E123" s="80" t="s">
        <v>81</v>
      </c>
      <c r="F123" s="80" t="s">
        <v>229</v>
      </c>
      <c r="G123" s="80"/>
      <c r="H123" s="80" t="s">
        <v>92</v>
      </c>
      <c r="I123" s="81">
        <v>2575.08</v>
      </c>
      <c r="J123" s="80" t="s">
        <v>53</v>
      </c>
      <c r="K123" s="80" t="s">
        <v>234</v>
      </c>
      <c r="L123" s="80" t="s">
        <v>154</v>
      </c>
      <c r="M123" s="80"/>
      <c r="N123" s="80"/>
      <c r="O123" s="80"/>
      <c r="P123" s="80" t="s">
        <v>10</v>
      </c>
    </row>
    <row r="124" spans="1:16" ht="52.5" x14ac:dyDescent="0.35">
      <c r="A124" s="78">
        <v>46208</v>
      </c>
      <c r="B124" s="79" t="s">
        <v>313</v>
      </c>
      <c r="C124" s="84" t="s">
        <v>214</v>
      </c>
      <c r="D124" s="80" t="s">
        <v>9</v>
      </c>
      <c r="E124" s="80" t="s">
        <v>81</v>
      </c>
      <c r="F124" s="80" t="s">
        <v>229</v>
      </c>
      <c r="G124" s="80"/>
      <c r="H124" s="80" t="s">
        <v>92</v>
      </c>
      <c r="I124" s="81">
        <v>2443.75</v>
      </c>
      <c r="J124" s="80" t="s">
        <v>53</v>
      </c>
      <c r="K124" s="80" t="s">
        <v>234</v>
      </c>
      <c r="L124" s="80" t="s">
        <v>154</v>
      </c>
      <c r="M124" s="80"/>
      <c r="N124" s="80"/>
      <c r="O124" s="80"/>
      <c r="P124" s="80" t="s">
        <v>10</v>
      </c>
    </row>
    <row r="125" spans="1:16" x14ac:dyDescent="0.35">
      <c r="A125" s="78">
        <v>46211</v>
      </c>
      <c r="B125" s="79" t="s">
        <v>314</v>
      </c>
      <c r="C125" s="80" t="s">
        <v>166</v>
      </c>
      <c r="D125" s="80" t="s">
        <v>9</v>
      </c>
      <c r="E125" s="80" t="s">
        <v>81</v>
      </c>
      <c r="F125" s="80" t="s">
        <v>139</v>
      </c>
      <c r="G125" s="80" t="s">
        <v>139</v>
      </c>
      <c r="H125" s="80" t="s">
        <v>92</v>
      </c>
      <c r="I125" s="81">
        <v>180</v>
      </c>
      <c r="J125" s="80" t="s">
        <v>53</v>
      </c>
      <c r="K125" s="80" t="s">
        <v>234</v>
      </c>
      <c r="L125" s="80" t="s">
        <v>61</v>
      </c>
      <c r="M125" s="80"/>
      <c r="N125" s="80"/>
      <c r="O125" s="80"/>
      <c r="P125" s="80" t="s">
        <v>10</v>
      </c>
    </row>
    <row r="126" spans="1:16" ht="70" x14ac:dyDescent="0.35">
      <c r="A126" s="78">
        <v>46211</v>
      </c>
      <c r="B126" s="79" t="s">
        <v>315</v>
      </c>
      <c r="C126" s="84" t="s">
        <v>214</v>
      </c>
      <c r="D126" s="80" t="s">
        <v>9</v>
      </c>
      <c r="E126" s="80" t="s">
        <v>81</v>
      </c>
      <c r="F126" s="80" t="s">
        <v>229</v>
      </c>
      <c r="G126" s="80"/>
      <c r="H126" s="80" t="s">
        <v>92</v>
      </c>
      <c r="I126" s="81">
        <v>2124.63</v>
      </c>
      <c r="J126" s="80" t="s">
        <v>53</v>
      </c>
      <c r="K126" s="80" t="s">
        <v>234</v>
      </c>
      <c r="L126" s="80" t="s">
        <v>154</v>
      </c>
      <c r="M126" s="80"/>
      <c r="N126" s="80"/>
      <c r="O126" s="80"/>
      <c r="P126" s="80" t="s">
        <v>10</v>
      </c>
    </row>
    <row r="127" spans="1:16" s="85" customFormat="1" ht="70" x14ac:dyDescent="0.35">
      <c r="A127" s="78">
        <v>46218</v>
      </c>
      <c r="B127" s="79" t="s">
        <v>317</v>
      </c>
      <c r="C127" s="84" t="s">
        <v>126</v>
      </c>
      <c r="D127" s="80" t="s">
        <v>9</v>
      </c>
      <c r="E127" s="80" t="s">
        <v>79</v>
      </c>
      <c r="F127" s="80" t="s">
        <v>236</v>
      </c>
      <c r="G127" s="80" t="s">
        <v>283</v>
      </c>
      <c r="H127" s="80" t="s">
        <v>92</v>
      </c>
      <c r="I127" s="81">
        <v>2318</v>
      </c>
      <c r="J127" s="80" t="s">
        <v>53</v>
      </c>
      <c r="K127" s="80" t="s">
        <v>234</v>
      </c>
      <c r="L127" s="80" t="s">
        <v>55</v>
      </c>
      <c r="M127" s="80"/>
      <c r="N127" s="80"/>
      <c r="O127" s="80"/>
      <c r="P127" s="80" t="s">
        <v>10</v>
      </c>
    </row>
    <row r="128" spans="1:16" x14ac:dyDescent="0.35">
      <c r="A128" s="78">
        <v>46222</v>
      </c>
      <c r="B128" s="82" t="s">
        <v>103</v>
      </c>
      <c r="C128" s="80" t="s">
        <v>27</v>
      </c>
      <c r="D128" s="80" t="s">
        <v>9</v>
      </c>
      <c r="E128" s="80" t="s">
        <v>72</v>
      </c>
      <c r="F128" s="80" t="s">
        <v>73</v>
      </c>
      <c r="G128" s="80"/>
      <c r="H128" s="80" t="s">
        <v>92</v>
      </c>
      <c r="I128" s="81">
        <v>10000</v>
      </c>
      <c r="J128" s="80" t="s">
        <v>118</v>
      </c>
      <c r="K128" s="80" t="s">
        <v>234</v>
      </c>
      <c r="L128" s="80" t="s">
        <v>221</v>
      </c>
      <c r="M128" s="80"/>
      <c r="N128" s="80"/>
      <c r="O128" s="80"/>
      <c r="P128" s="80" t="s">
        <v>10</v>
      </c>
    </row>
    <row r="129" spans="1:16" x14ac:dyDescent="0.35">
      <c r="A129" s="78">
        <v>46222</v>
      </c>
      <c r="B129" s="82" t="s">
        <v>318</v>
      </c>
      <c r="C129" s="80" t="s">
        <v>27</v>
      </c>
      <c r="D129" s="80" t="s">
        <v>9</v>
      </c>
      <c r="E129" s="80" t="s">
        <v>72</v>
      </c>
      <c r="F129" s="80" t="s">
        <v>125</v>
      </c>
      <c r="G129" s="80"/>
      <c r="H129" s="80" t="s">
        <v>92</v>
      </c>
      <c r="I129" s="81">
        <v>100</v>
      </c>
      <c r="J129" s="80" t="s">
        <v>118</v>
      </c>
      <c r="K129" s="80" t="s">
        <v>234</v>
      </c>
      <c r="L129" s="80" t="s">
        <v>221</v>
      </c>
      <c r="M129" s="80"/>
      <c r="N129" s="80"/>
      <c r="O129" s="80"/>
      <c r="P129" s="80" t="s">
        <v>10</v>
      </c>
    </row>
    <row r="130" spans="1:16" ht="122.5" x14ac:dyDescent="0.35">
      <c r="A130" s="78">
        <v>46228</v>
      </c>
      <c r="B130" s="79" t="s">
        <v>319</v>
      </c>
      <c r="C130" s="84" t="s">
        <v>235</v>
      </c>
      <c r="D130" s="80" t="s">
        <v>9</v>
      </c>
      <c r="E130" s="80" t="s">
        <v>81</v>
      </c>
      <c r="F130" s="80" t="s">
        <v>115</v>
      </c>
      <c r="G130" s="80"/>
      <c r="H130" s="80" t="s">
        <v>92</v>
      </c>
      <c r="I130" s="81">
        <v>31640</v>
      </c>
      <c r="J130" s="80" t="s">
        <v>53</v>
      </c>
      <c r="K130" s="80" t="s">
        <v>234</v>
      </c>
      <c r="L130" s="80" t="s">
        <v>55</v>
      </c>
      <c r="M130" s="80" t="s">
        <v>310</v>
      </c>
      <c r="N130" s="78">
        <v>46183</v>
      </c>
      <c r="O130" s="80"/>
      <c r="P130" s="80" t="s">
        <v>10</v>
      </c>
    </row>
    <row r="131" spans="1:16" x14ac:dyDescent="0.35">
      <c r="A131" s="78">
        <v>46231</v>
      </c>
      <c r="B131" s="82" t="s">
        <v>320</v>
      </c>
      <c r="C131" s="80" t="s">
        <v>27</v>
      </c>
      <c r="D131" s="80" t="s">
        <v>9</v>
      </c>
      <c r="E131" s="80" t="s">
        <v>72</v>
      </c>
      <c r="F131" s="80" t="s">
        <v>125</v>
      </c>
      <c r="G131" s="80"/>
      <c r="H131" s="80" t="s">
        <v>92</v>
      </c>
      <c r="I131" s="81">
        <v>250</v>
      </c>
      <c r="J131" s="80" t="s">
        <v>118</v>
      </c>
      <c r="K131" s="80" t="s">
        <v>234</v>
      </c>
      <c r="L131" s="80" t="s">
        <v>221</v>
      </c>
      <c r="M131" s="80"/>
      <c r="N131" s="80"/>
      <c r="O131" s="80"/>
      <c r="P131" s="80" t="s">
        <v>10</v>
      </c>
    </row>
    <row r="132" spans="1:16" ht="35" x14ac:dyDescent="0.35">
      <c r="A132" s="78">
        <v>46233</v>
      </c>
      <c r="B132" s="79" t="s">
        <v>321</v>
      </c>
      <c r="C132" s="84" t="s">
        <v>235</v>
      </c>
      <c r="D132" s="80" t="s">
        <v>9</v>
      </c>
      <c r="E132" s="80" t="s">
        <v>81</v>
      </c>
      <c r="F132" s="80" t="s">
        <v>115</v>
      </c>
      <c r="G132" s="80"/>
      <c r="H132" s="80" t="s">
        <v>92</v>
      </c>
      <c r="I132" s="81">
        <v>2621.5</v>
      </c>
      <c r="J132" s="80" t="s">
        <v>53</v>
      </c>
      <c r="K132" s="80" t="s">
        <v>234</v>
      </c>
      <c r="L132" s="80" t="s">
        <v>55</v>
      </c>
      <c r="M132" s="80" t="s">
        <v>322</v>
      </c>
      <c r="N132" s="78">
        <v>46183</v>
      </c>
      <c r="O132" s="80"/>
      <c r="P132" s="80" t="s">
        <v>10</v>
      </c>
    </row>
    <row r="133" spans="1:16" ht="70" x14ac:dyDescent="0.35">
      <c r="A133" s="78">
        <v>46233</v>
      </c>
      <c r="B133" s="79" t="s">
        <v>324</v>
      </c>
      <c r="C133" s="84" t="s">
        <v>235</v>
      </c>
      <c r="D133" s="80" t="s">
        <v>9</v>
      </c>
      <c r="E133" s="80" t="s">
        <v>81</v>
      </c>
      <c r="F133" s="80" t="s">
        <v>115</v>
      </c>
      <c r="G133" s="80" t="s">
        <v>115</v>
      </c>
      <c r="H133" s="80" t="s">
        <v>92</v>
      </c>
      <c r="I133" s="81">
        <v>10062.5</v>
      </c>
      <c r="J133" s="80" t="s">
        <v>53</v>
      </c>
      <c r="K133" s="80" t="s">
        <v>234</v>
      </c>
      <c r="L133" s="80" t="s">
        <v>55</v>
      </c>
      <c r="M133" s="80" t="s">
        <v>323</v>
      </c>
      <c r="N133" s="78">
        <v>46183</v>
      </c>
      <c r="O133" s="80"/>
      <c r="P133" s="80" t="s">
        <v>10</v>
      </c>
    </row>
    <row r="134" spans="1:16" ht="35" x14ac:dyDescent="0.35">
      <c r="A134" s="78">
        <v>46239</v>
      </c>
      <c r="B134" s="79" t="s">
        <v>325</v>
      </c>
      <c r="C134" s="84" t="s">
        <v>326</v>
      </c>
      <c r="D134" s="80" t="s">
        <v>9</v>
      </c>
      <c r="E134" s="80" t="s">
        <v>81</v>
      </c>
      <c r="F134" s="80" t="s">
        <v>232</v>
      </c>
      <c r="G134" s="80" t="s">
        <v>232</v>
      </c>
      <c r="H134" s="80" t="s">
        <v>92</v>
      </c>
      <c r="I134" s="81">
        <v>4663.3</v>
      </c>
      <c r="J134" s="80" t="s">
        <v>53</v>
      </c>
      <c r="K134" s="80" t="s">
        <v>234</v>
      </c>
      <c r="L134" s="80" t="s">
        <v>154</v>
      </c>
      <c r="M134" s="80"/>
      <c r="N134" s="80"/>
      <c r="O134" s="80"/>
      <c r="P134" s="80" t="s">
        <v>10</v>
      </c>
    </row>
    <row r="135" spans="1:16" x14ac:dyDescent="0.35">
      <c r="A135" s="78">
        <v>46221</v>
      </c>
      <c r="B135" s="79" t="s">
        <v>327</v>
      </c>
      <c r="C135" s="80" t="s">
        <v>166</v>
      </c>
      <c r="D135" s="80" t="s">
        <v>9</v>
      </c>
      <c r="E135" s="80" t="s">
        <v>81</v>
      </c>
      <c r="F135" s="80" t="s">
        <v>139</v>
      </c>
      <c r="G135" s="80" t="s">
        <v>139</v>
      </c>
      <c r="H135" s="80" t="s">
        <v>92</v>
      </c>
      <c r="I135" s="81">
        <v>144</v>
      </c>
      <c r="J135" s="80" t="s">
        <v>53</v>
      </c>
      <c r="K135" s="80" t="s">
        <v>234</v>
      </c>
      <c r="L135" s="80" t="s">
        <v>61</v>
      </c>
      <c r="M135" s="80"/>
      <c r="N135" s="80"/>
      <c r="O135" s="80"/>
      <c r="P135" s="80" t="s">
        <v>10</v>
      </c>
    </row>
    <row r="136" spans="1:16" x14ac:dyDescent="0.35">
      <c r="A136" s="78">
        <v>46242</v>
      </c>
      <c r="B136" s="79" t="s">
        <v>328</v>
      </c>
      <c r="C136" s="80" t="s">
        <v>166</v>
      </c>
      <c r="D136" s="80" t="s">
        <v>9</v>
      </c>
      <c r="E136" s="80" t="s">
        <v>81</v>
      </c>
      <c r="F136" s="80" t="s">
        <v>139</v>
      </c>
      <c r="G136" s="80" t="s">
        <v>139</v>
      </c>
      <c r="H136" s="80" t="s">
        <v>92</v>
      </c>
      <c r="I136" s="81">
        <v>150</v>
      </c>
      <c r="J136" s="80" t="s">
        <v>53</v>
      </c>
      <c r="K136" s="80" t="s">
        <v>234</v>
      </c>
      <c r="L136" s="80" t="s">
        <v>61</v>
      </c>
      <c r="M136" s="80"/>
      <c r="N136" s="80"/>
      <c r="O136" s="80"/>
      <c r="P136" s="80" t="s">
        <v>10</v>
      </c>
    </row>
    <row r="137" spans="1:16" s="85" customFormat="1" ht="70" x14ac:dyDescent="0.35">
      <c r="A137" s="78">
        <v>46240</v>
      </c>
      <c r="B137" s="79" t="s">
        <v>337</v>
      </c>
      <c r="C137" s="84" t="s">
        <v>126</v>
      </c>
      <c r="D137" s="80" t="s">
        <v>9</v>
      </c>
      <c r="E137" s="80" t="s">
        <v>79</v>
      </c>
      <c r="F137" s="80" t="s">
        <v>236</v>
      </c>
      <c r="G137" s="80" t="s">
        <v>283</v>
      </c>
      <c r="H137" s="80" t="s">
        <v>92</v>
      </c>
      <c r="I137" s="81">
        <v>23180</v>
      </c>
      <c r="J137" s="80" t="s">
        <v>53</v>
      </c>
      <c r="K137" s="80" t="s">
        <v>234</v>
      </c>
      <c r="L137" s="80" t="s">
        <v>55</v>
      </c>
      <c r="M137" s="80"/>
      <c r="N137" s="80"/>
      <c r="O137" s="80"/>
      <c r="P137" s="80" t="s">
        <v>10</v>
      </c>
    </row>
    <row r="138" spans="1:16" ht="52.5" x14ac:dyDescent="0.35">
      <c r="A138" s="78">
        <v>46240</v>
      </c>
      <c r="B138" s="79" t="s">
        <v>332</v>
      </c>
      <c r="C138" s="84" t="s">
        <v>126</v>
      </c>
      <c r="D138" s="80" t="s">
        <v>9</v>
      </c>
      <c r="E138" s="80" t="s">
        <v>79</v>
      </c>
      <c r="F138" s="80" t="s">
        <v>236</v>
      </c>
      <c r="G138" s="80" t="s">
        <v>270</v>
      </c>
      <c r="H138" s="80" t="s">
        <v>92</v>
      </c>
      <c r="I138" s="81">
        <v>460</v>
      </c>
      <c r="J138" s="80" t="s">
        <v>53</v>
      </c>
      <c r="K138" s="80" t="s">
        <v>234</v>
      </c>
      <c r="L138" s="80" t="s">
        <v>55</v>
      </c>
      <c r="M138" s="80"/>
      <c r="N138" s="80"/>
      <c r="O138" s="80"/>
      <c r="P138" s="80" t="s">
        <v>10</v>
      </c>
    </row>
    <row r="139" spans="1:16" x14ac:dyDescent="0.35">
      <c r="A139" s="78">
        <v>46244</v>
      </c>
      <c r="B139" s="82" t="s">
        <v>104</v>
      </c>
      <c r="C139" s="80" t="s">
        <v>27</v>
      </c>
      <c r="D139" s="80" t="s">
        <v>9</v>
      </c>
      <c r="E139" s="80" t="s">
        <v>72</v>
      </c>
      <c r="F139" s="80" t="s">
        <v>73</v>
      </c>
      <c r="G139" s="80"/>
      <c r="H139" s="80" t="s">
        <v>92</v>
      </c>
      <c r="I139" s="81">
        <v>20000</v>
      </c>
      <c r="J139" s="80" t="s">
        <v>118</v>
      </c>
      <c r="K139" s="80" t="s">
        <v>234</v>
      </c>
      <c r="L139" s="80" t="s">
        <v>221</v>
      </c>
      <c r="M139" s="80"/>
      <c r="N139" s="80"/>
      <c r="O139" s="80"/>
      <c r="P139" s="80" t="s">
        <v>10</v>
      </c>
    </row>
    <row r="140" spans="1:16" x14ac:dyDescent="0.35">
      <c r="A140" s="78">
        <v>46254</v>
      </c>
      <c r="B140" s="82" t="s">
        <v>281</v>
      </c>
      <c r="C140" s="80" t="s">
        <v>42</v>
      </c>
      <c r="D140" s="80" t="s">
        <v>9</v>
      </c>
      <c r="E140" s="80" t="s">
        <v>81</v>
      </c>
      <c r="F140" s="80" t="s">
        <v>125</v>
      </c>
      <c r="G140" s="80" t="s">
        <v>125</v>
      </c>
      <c r="H140" s="80" t="s">
        <v>92</v>
      </c>
      <c r="I140" s="81">
        <v>3661.29</v>
      </c>
      <c r="J140" s="80" t="s">
        <v>53</v>
      </c>
      <c r="K140" s="80" t="s">
        <v>234</v>
      </c>
      <c r="L140" s="80" t="s">
        <v>194</v>
      </c>
      <c r="M140" s="80"/>
      <c r="N140" s="80"/>
      <c r="O140" s="80"/>
      <c r="P140" s="80" t="s">
        <v>10</v>
      </c>
    </row>
    <row r="141" spans="1:16" s="85" customFormat="1" ht="70" x14ac:dyDescent="0.35">
      <c r="A141" s="78">
        <v>46259</v>
      </c>
      <c r="B141" s="79" t="s">
        <v>338</v>
      </c>
      <c r="C141" s="84" t="s">
        <v>126</v>
      </c>
      <c r="D141" s="80" t="s">
        <v>9</v>
      </c>
      <c r="E141" s="80" t="s">
        <v>79</v>
      </c>
      <c r="F141" s="80" t="s">
        <v>236</v>
      </c>
      <c r="G141" s="80" t="s">
        <v>283</v>
      </c>
      <c r="H141" s="80" t="s">
        <v>92</v>
      </c>
      <c r="I141" s="81">
        <v>2318</v>
      </c>
      <c r="J141" s="80" t="s">
        <v>53</v>
      </c>
      <c r="K141" s="80" t="s">
        <v>234</v>
      </c>
      <c r="L141" s="80" t="s">
        <v>55</v>
      </c>
      <c r="M141" s="80"/>
      <c r="N141" s="80"/>
      <c r="O141" s="80"/>
      <c r="P141" s="80" t="s">
        <v>10</v>
      </c>
    </row>
    <row r="142" spans="1:16" ht="52.5" x14ac:dyDescent="0.35">
      <c r="A142" s="78">
        <v>46259</v>
      </c>
      <c r="B142" s="79" t="s">
        <v>339</v>
      </c>
      <c r="C142" s="84" t="s">
        <v>126</v>
      </c>
      <c r="D142" s="80" t="s">
        <v>9</v>
      </c>
      <c r="E142" s="80" t="s">
        <v>79</v>
      </c>
      <c r="F142" s="80" t="s">
        <v>236</v>
      </c>
      <c r="G142" s="80" t="s">
        <v>270</v>
      </c>
      <c r="H142" s="80" t="s">
        <v>92</v>
      </c>
      <c r="I142" s="81">
        <v>46</v>
      </c>
      <c r="J142" s="80" t="s">
        <v>53</v>
      </c>
      <c r="K142" s="80" t="s">
        <v>234</v>
      </c>
      <c r="L142" s="80" t="s">
        <v>55</v>
      </c>
      <c r="M142" s="80"/>
      <c r="N142" s="80"/>
      <c r="O142" s="80"/>
      <c r="P142" s="80" t="s">
        <v>10</v>
      </c>
    </row>
    <row r="143" spans="1:16" ht="70" x14ac:dyDescent="0.35">
      <c r="A143" s="78">
        <v>46262</v>
      </c>
      <c r="B143" s="79" t="s">
        <v>340</v>
      </c>
      <c r="C143" s="84" t="s">
        <v>214</v>
      </c>
      <c r="D143" s="80" t="s">
        <v>9</v>
      </c>
      <c r="E143" s="80" t="s">
        <v>81</v>
      </c>
      <c r="F143" s="80" t="s">
        <v>229</v>
      </c>
      <c r="G143" s="80"/>
      <c r="H143" s="80" t="s">
        <v>92</v>
      </c>
      <c r="I143" s="81">
        <v>6152.5</v>
      </c>
      <c r="J143" s="80" t="s">
        <v>53</v>
      </c>
      <c r="K143" s="80" t="s">
        <v>234</v>
      </c>
      <c r="L143" s="80" t="s">
        <v>154</v>
      </c>
      <c r="M143" s="80"/>
      <c r="N143" s="80"/>
      <c r="O143" s="80"/>
      <c r="P143" s="80" t="s">
        <v>10</v>
      </c>
    </row>
    <row r="144" spans="1:16" s="85" customFormat="1" ht="70" x14ac:dyDescent="0.35">
      <c r="A144" s="78">
        <v>46263</v>
      </c>
      <c r="B144" s="79" t="s">
        <v>341</v>
      </c>
      <c r="C144" s="84" t="s">
        <v>126</v>
      </c>
      <c r="D144" s="80" t="s">
        <v>9</v>
      </c>
      <c r="E144" s="80" t="s">
        <v>79</v>
      </c>
      <c r="F144" s="80" t="s">
        <v>236</v>
      </c>
      <c r="G144" s="80" t="s">
        <v>283</v>
      </c>
      <c r="H144" s="80" t="s">
        <v>92</v>
      </c>
      <c r="I144" s="81">
        <v>1738.5</v>
      </c>
      <c r="J144" s="80" t="s">
        <v>53</v>
      </c>
      <c r="K144" s="80" t="s">
        <v>234</v>
      </c>
      <c r="L144" s="80" t="s">
        <v>55</v>
      </c>
      <c r="M144" s="80"/>
      <c r="N144" s="80"/>
      <c r="O144" s="80"/>
      <c r="P144" s="80" t="s">
        <v>10</v>
      </c>
    </row>
    <row r="145" spans="1:16" ht="52.5" x14ac:dyDescent="0.35">
      <c r="A145" s="78">
        <v>46263</v>
      </c>
      <c r="B145" s="79" t="s">
        <v>342</v>
      </c>
      <c r="C145" s="84" t="s">
        <v>126</v>
      </c>
      <c r="D145" s="80" t="s">
        <v>9</v>
      </c>
      <c r="E145" s="80" t="s">
        <v>79</v>
      </c>
      <c r="F145" s="80" t="s">
        <v>236</v>
      </c>
      <c r="G145" s="80" t="s">
        <v>270</v>
      </c>
      <c r="H145" s="80" t="s">
        <v>92</v>
      </c>
      <c r="I145" s="81">
        <v>34.5</v>
      </c>
      <c r="J145" s="80" t="s">
        <v>53</v>
      </c>
      <c r="K145" s="80" t="s">
        <v>234</v>
      </c>
      <c r="L145" s="80" t="s">
        <v>55</v>
      </c>
      <c r="M145" s="80"/>
      <c r="N145" s="80"/>
      <c r="O145" s="80"/>
      <c r="P145" s="80" t="s">
        <v>10</v>
      </c>
    </row>
    <row r="146" spans="1:16" ht="61.75" customHeight="1" x14ac:dyDescent="0.35">
      <c r="A146" s="78">
        <v>46266</v>
      </c>
      <c r="B146" s="79" t="s">
        <v>346</v>
      </c>
      <c r="C146" s="80" t="s">
        <v>166</v>
      </c>
      <c r="D146" s="80" t="s">
        <v>9</v>
      </c>
      <c r="E146" s="80" t="s">
        <v>81</v>
      </c>
      <c r="F146" s="80" t="s">
        <v>139</v>
      </c>
      <c r="G146" s="80" t="s">
        <v>139</v>
      </c>
      <c r="H146" s="80" t="s">
        <v>92</v>
      </c>
      <c r="I146" s="81">
        <v>1500</v>
      </c>
      <c r="J146" s="80" t="s">
        <v>53</v>
      </c>
      <c r="K146" s="80" t="s">
        <v>234</v>
      </c>
      <c r="L146" s="80" t="s">
        <v>61</v>
      </c>
      <c r="M146" s="80"/>
      <c r="N146" s="80"/>
      <c r="O146" s="80"/>
      <c r="P146" s="80" t="s">
        <v>10</v>
      </c>
    </row>
    <row r="147" spans="1:16" ht="70" x14ac:dyDescent="0.35">
      <c r="A147" s="78">
        <v>46282</v>
      </c>
      <c r="B147" s="79" t="s">
        <v>347</v>
      </c>
      <c r="C147" s="84" t="s">
        <v>214</v>
      </c>
      <c r="D147" s="80" t="s">
        <v>9</v>
      </c>
      <c r="E147" s="80" t="s">
        <v>81</v>
      </c>
      <c r="F147" s="80" t="s">
        <v>229</v>
      </c>
      <c r="G147" s="80" t="s">
        <v>229</v>
      </c>
      <c r="H147" s="80" t="s">
        <v>92</v>
      </c>
      <c r="I147" s="81">
        <v>2486.88</v>
      </c>
      <c r="J147" s="80" t="s">
        <v>53</v>
      </c>
      <c r="K147" s="80" t="s">
        <v>234</v>
      </c>
      <c r="L147" s="80" t="s">
        <v>154</v>
      </c>
      <c r="M147" s="80"/>
      <c r="N147" s="80"/>
      <c r="O147" s="80"/>
      <c r="P147" s="80" t="s">
        <v>10</v>
      </c>
    </row>
    <row r="148" spans="1:16" x14ac:dyDescent="0.35">
      <c r="A148" s="78">
        <v>46279</v>
      </c>
      <c r="B148" s="79" t="s">
        <v>361</v>
      </c>
      <c r="C148" s="80" t="s">
        <v>166</v>
      </c>
      <c r="D148" s="80" t="s">
        <v>9</v>
      </c>
      <c r="E148" s="80" t="s">
        <v>81</v>
      </c>
      <c r="F148" s="80" t="s">
        <v>361</v>
      </c>
      <c r="G148" s="80"/>
      <c r="H148" s="80" t="s">
        <v>92</v>
      </c>
      <c r="I148" s="81">
        <v>300</v>
      </c>
      <c r="J148" s="80" t="s">
        <v>53</v>
      </c>
      <c r="K148" s="80" t="s">
        <v>234</v>
      </c>
      <c r="L148" s="80" t="s">
        <v>61</v>
      </c>
      <c r="M148" s="80"/>
      <c r="N148" s="80"/>
      <c r="O148" s="80"/>
      <c r="P148" s="80" t="s">
        <v>10</v>
      </c>
    </row>
    <row r="149" spans="1:16" ht="70" x14ac:dyDescent="0.35">
      <c r="A149" s="78">
        <v>46289</v>
      </c>
      <c r="B149" s="79" t="s">
        <v>348</v>
      </c>
      <c r="C149" s="84" t="s">
        <v>214</v>
      </c>
      <c r="D149" s="80" t="s">
        <v>9</v>
      </c>
      <c r="E149" s="80" t="s">
        <v>81</v>
      </c>
      <c r="F149" s="80" t="s">
        <v>229</v>
      </c>
      <c r="G149" s="80" t="s">
        <v>229</v>
      </c>
      <c r="H149" s="80" t="s">
        <v>92</v>
      </c>
      <c r="I149" s="81">
        <v>2021.13</v>
      </c>
      <c r="J149" s="80" t="s">
        <v>53</v>
      </c>
      <c r="K149" s="80" t="s">
        <v>234</v>
      </c>
      <c r="L149" s="80" t="s">
        <v>154</v>
      </c>
      <c r="M149" s="80"/>
      <c r="N149" s="80"/>
      <c r="O149" s="80"/>
      <c r="P149" s="80" t="s">
        <v>10</v>
      </c>
    </row>
    <row r="150" spans="1:16" x14ac:dyDescent="0.35">
      <c r="A150" s="78">
        <v>46292</v>
      </c>
      <c r="B150" s="79" t="s">
        <v>351</v>
      </c>
      <c r="C150" s="80" t="s">
        <v>349</v>
      </c>
      <c r="D150" s="80" t="s">
        <v>9</v>
      </c>
      <c r="E150" s="80" t="s">
        <v>350</v>
      </c>
      <c r="F150" s="80" t="s">
        <v>350</v>
      </c>
      <c r="G150" s="80"/>
      <c r="H150" s="80" t="s">
        <v>92</v>
      </c>
      <c r="I150" s="81">
        <v>110000</v>
      </c>
      <c r="J150" s="80" t="s">
        <v>53</v>
      </c>
      <c r="K150" s="80" t="s">
        <v>234</v>
      </c>
      <c r="L150" s="80" t="s">
        <v>154</v>
      </c>
      <c r="M150" s="80"/>
      <c r="N150" s="80"/>
      <c r="O150" s="80"/>
      <c r="P150" s="80" t="s">
        <v>10</v>
      </c>
    </row>
    <row r="151" spans="1:16" s="85" customFormat="1" ht="70" x14ac:dyDescent="0.35">
      <c r="A151" s="78">
        <v>46299</v>
      </c>
      <c r="B151" s="79" t="s">
        <v>355</v>
      </c>
      <c r="C151" s="84" t="s">
        <v>126</v>
      </c>
      <c r="D151" s="80" t="s">
        <v>9</v>
      </c>
      <c r="E151" s="80" t="s">
        <v>79</v>
      </c>
      <c r="F151" s="80" t="s">
        <v>236</v>
      </c>
      <c r="G151" s="80" t="s">
        <v>356</v>
      </c>
      <c r="H151" s="80" t="s">
        <v>92</v>
      </c>
      <c r="I151" s="81">
        <v>1738.5</v>
      </c>
      <c r="J151" s="80" t="s">
        <v>53</v>
      </c>
      <c r="K151" s="80" t="s">
        <v>234</v>
      </c>
      <c r="L151" s="80" t="s">
        <v>55</v>
      </c>
      <c r="M151" s="80"/>
      <c r="N151" s="80"/>
      <c r="O151" s="80"/>
      <c r="P151" s="80" t="s">
        <v>10</v>
      </c>
    </row>
    <row r="152" spans="1:16" x14ac:dyDescent="0.35">
      <c r="A152" s="78">
        <v>46302</v>
      </c>
      <c r="B152" s="79" t="s">
        <v>357</v>
      </c>
      <c r="C152" s="80" t="s">
        <v>358</v>
      </c>
      <c r="D152" s="80" t="s">
        <v>9</v>
      </c>
      <c r="E152" s="80" t="s">
        <v>359</v>
      </c>
      <c r="F152" s="80" t="s">
        <v>359</v>
      </c>
      <c r="G152" s="80"/>
      <c r="H152" s="80" t="s">
        <v>92</v>
      </c>
      <c r="I152" s="81">
        <v>6800</v>
      </c>
      <c r="J152" s="80" t="s">
        <v>53</v>
      </c>
      <c r="K152" s="80" t="s">
        <v>234</v>
      </c>
      <c r="L152" s="80" t="s">
        <v>93</v>
      </c>
      <c r="M152" s="80"/>
      <c r="N152" s="80"/>
      <c r="O152" s="80"/>
      <c r="P152" s="80" t="s">
        <v>10</v>
      </c>
    </row>
    <row r="153" spans="1:16" x14ac:dyDescent="0.35">
      <c r="A153" s="78">
        <v>46306</v>
      </c>
      <c r="B153" s="82" t="s">
        <v>105</v>
      </c>
      <c r="C153" s="80" t="s">
        <v>27</v>
      </c>
      <c r="D153" s="80" t="s">
        <v>9</v>
      </c>
      <c r="E153" s="80" t="s">
        <v>72</v>
      </c>
      <c r="F153" s="80" t="s">
        <v>73</v>
      </c>
      <c r="G153" s="80"/>
      <c r="H153" s="80" t="s">
        <v>92</v>
      </c>
      <c r="I153" s="81">
        <v>15000</v>
      </c>
      <c r="J153" s="80"/>
      <c r="K153" s="80" t="s">
        <v>234</v>
      </c>
      <c r="L153" s="80"/>
      <c r="M153" s="80"/>
      <c r="N153" s="80"/>
      <c r="O153" s="80"/>
      <c r="P153" s="80" t="s">
        <v>10</v>
      </c>
    </row>
    <row r="154" spans="1:16" ht="87.5" x14ac:dyDescent="0.35">
      <c r="A154" s="78">
        <v>46306</v>
      </c>
      <c r="B154" s="79" t="s">
        <v>360</v>
      </c>
      <c r="C154" s="84" t="s">
        <v>235</v>
      </c>
      <c r="D154" s="80" t="s">
        <v>9</v>
      </c>
      <c r="E154" s="80" t="s">
        <v>81</v>
      </c>
      <c r="F154" s="80" t="s">
        <v>115</v>
      </c>
      <c r="G154" s="80" t="s">
        <v>115</v>
      </c>
      <c r="H154" s="80" t="s">
        <v>92</v>
      </c>
      <c r="I154" s="81">
        <v>18100</v>
      </c>
      <c r="J154" s="80" t="s">
        <v>53</v>
      </c>
      <c r="K154" s="80" t="s">
        <v>234</v>
      </c>
      <c r="L154" s="80" t="s">
        <v>55</v>
      </c>
      <c r="M154" s="80"/>
      <c r="N154" s="78"/>
      <c r="O154" s="80"/>
      <c r="P154" s="80" t="s">
        <v>10</v>
      </c>
    </row>
    <row r="155" spans="1:16" x14ac:dyDescent="0.35">
      <c r="A155" s="78">
        <v>46293</v>
      </c>
      <c r="B155" s="79" t="s">
        <v>361</v>
      </c>
      <c r="C155" s="80" t="s">
        <v>166</v>
      </c>
      <c r="D155" s="80" t="s">
        <v>9</v>
      </c>
      <c r="E155" s="80" t="s">
        <v>81</v>
      </c>
      <c r="F155" s="80" t="s">
        <v>361</v>
      </c>
      <c r="G155" s="80"/>
      <c r="H155" s="80" t="s">
        <v>92</v>
      </c>
      <c r="I155" s="81">
        <v>300</v>
      </c>
      <c r="J155" s="80" t="s">
        <v>53</v>
      </c>
      <c r="K155" s="80" t="s">
        <v>234</v>
      </c>
      <c r="L155" s="80" t="s">
        <v>61</v>
      </c>
      <c r="M155" s="80"/>
      <c r="N155" s="80"/>
      <c r="O155" s="80"/>
      <c r="P155" s="80" t="s">
        <v>10</v>
      </c>
    </row>
    <row r="156" spans="1:16" x14ac:dyDescent="0.35">
      <c r="A156" s="78">
        <v>46298</v>
      </c>
      <c r="B156" s="79" t="s">
        <v>362</v>
      </c>
      <c r="C156" s="80" t="s">
        <v>363</v>
      </c>
      <c r="D156" s="80" t="s">
        <v>9</v>
      </c>
      <c r="E156" s="80" t="s">
        <v>81</v>
      </c>
      <c r="F156" s="80" t="s">
        <v>364</v>
      </c>
      <c r="G156" s="80"/>
      <c r="H156" s="80" t="s">
        <v>92</v>
      </c>
      <c r="I156" s="81">
        <v>250</v>
      </c>
      <c r="J156" s="80" t="s">
        <v>53</v>
      </c>
      <c r="K156" s="80" t="s">
        <v>234</v>
      </c>
      <c r="L156" s="80" t="s">
        <v>365</v>
      </c>
      <c r="M156" s="80"/>
      <c r="N156" s="80"/>
      <c r="O156" s="80"/>
      <c r="P156" s="80" t="s">
        <v>10</v>
      </c>
    </row>
    <row r="157" spans="1:16" x14ac:dyDescent="0.35">
      <c r="A157" s="78">
        <v>46310</v>
      </c>
      <c r="B157" s="82" t="s">
        <v>87</v>
      </c>
      <c r="C157" s="80" t="s">
        <v>25</v>
      </c>
      <c r="D157" s="80" t="s">
        <v>9</v>
      </c>
      <c r="E157" s="80" t="s">
        <v>77</v>
      </c>
      <c r="F157" s="80" t="s">
        <v>109</v>
      </c>
      <c r="G157" s="80"/>
      <c r="H157" s="80" t="s">
        <v>92</v>
      </c>
      <c r="I157" s="81">
        <v>4025</v>
      </c>
      <c r="J157" s="80" t="s">
        <v>53</v>
      </c>
      <c r="K157" s="80" t="s">
        <v>234</v>
      </c>
      <c r="L157" s="80"/>
      <c r="M157" s="80"/>
      <c r="N157" s="80"/>
      <c r="O157" s="80"/>
      <c r="P157" s="80" t="s">
        <v>10</v>
      </c>
    </row>
    <row r="158" spans="1:16" ht="52.5" x14ac:dyDescent="0.35">
      <c r="A158" s="78">
        <v>46312</v>
      </c>
      <c r="B158" s="79" t="s">
        <v>366</v>
      </c>
      <c r="C158" s="84" t="s">
        <v>235</v>
      </c>
      <c r="D158" s="80" t="s">
        <v>9</v>
      </c>
      <c r="E158" s="80" t="s">
        <v>81</v>
      </c>
      <c r="F158" s="80" t="s">
        <v>115</v>
      </c>
      <c r="G158" s="80" t="s">
        <v>115</v>
      </c>
      <c r="H158" s="80" t="s">
        <v>92</v>
      </c>
      <c r="I158" s="81">
        <v>2100</v>
      </c>
      <c r="J158" s="80" t="s">
        <v>53</v>
      </c>
      <c r="K158" s="80" t="s">
        <v>234</v>
      </c>
      <c r="L158" s="80" t="s">
        <v>55</v>
      </c>
      <c r="M158" s="80"/>
      <c r="N158" s="78"/>
      <c r="O158" s="80"/>
      <c r="P158" s="80" t="s">
        <v>10</v>
      </c>
    </row>
    <row r="159" spans="1:16" ht="52.5" x14ac:dyDescent="0.35">
      <c r="A159" s="78">
        <v>46312</v>
      </c>
      <c r="B159" s="79" t="s">
        <v>367</v>
      </c>
      <c r="C159" s="84" t="s">
        <v>215</v>
      </c>
      <c r="D159" s="80" t="s">
        <v>9</v>
      </c>
      <c r="E159" s="80" t="s">
        <v>81</v>
      </c>
      <c r="F159" s="80" t="s">
        <v>125</v>
      </c>
      <c r="G159" s="80" t="s">
        <v>232</v>
      </c>
      <c r="H159" s="80" t="s">
        <v>92</v>
      </c>
      <c r="I159" s="81">
        <v>2291.9699999999998</v>
      </c>
      <c r="J159" s="80" t="s">
        <v>53</v>
      </c>
      <c r="K159" s="80" t="s">
        <v>234</v>
      </c>
      <c r="L159" s="80" t="s">
        <v>154</v>
      </c>
      <c r="M159" s="80"/>
      <c r="N159" s="80"/>
      <c r="O159" s="80"/>
      <c r="P159" s="80" t="s">
        <v>10</v>
      </c>
    </row>
    <row r="160" spans="1:16" s="85" customFormat="1" ht="70" x14ac:dyDescent="0.35">
      <c r="A160" s="78">
        <v>46319</v>
      </c>
      <c r="B160" s="79" t="s">
        <v>370</v>
      </c>
      <c r="C160" s="84" t="s">
        <v>126</v>
      </c>
      <c r="D160" s="80" t="s">
        <v>9</v>
      </c>
      <c r="E160" s="80" t="s">
        <v>79</v>
      </c>
      <c r="F160" s="80" t="s">
        <v>236</v>
      </c>
      <c r="G160" s="80" t="s">
        <v>356</v>
      </c>
      <c r="H160" s="80" t="s">
        <v>92</v>
      </c>
      <c r="I160" s="81">
        <v>12169.5</v>
      </c>
      <c r="J160" s="80" t="s">
        <v>53</v>
      </c>
      <c r="K160" s="80" t="s">
        <v>234</v>
      </c>
      <c r="L160" s="80" t="s">
        <v>55</v>
      </c>
      <c r="M160" s="80"/>
      <c r="N160" s="80"/>
      <c r="O160" s="80"/>
      <c r="P160" s="80" t="s">
        <v>10</v>
      </c>
    </row>
    <row r="161" spans="1:16" x14ac:dyDescent="0.35">
      <c r="A161" s="78">
        <v>46322</v>
      </c>
      <c r="B161" s="59" t="s">
        <v>88</v>
      </c>
      <c r="C161" s="80" t="s">
        <v>25</v>
      </c>
      <c r="D161" s="80" t="s">
        <v>9</v>
      </c>
      <c r="E161" s="80" t="s">
        <v>77</v>
      </c>
      <c r="F161" s="80" t="s">
        <v>109</v>
      </c>
      <c r="G161" s="80"/>
      <c r="H161" s="80" t="s">
        <v>92</v>
      </c>
      <c r="I161" s="81">
        <v>2300</v>
      </c>
      <c r="J161" s="80" t="s">
        <v>53</v>
      </c>
      <c r="K161" s="80" t="s">
        <v>234</v>
      </c>
      <c r="L161" s="80"/>
      <c r="M161" s="80"/>
      <c r="N161" s="80"/>
      <c r="O161" s="80"/>
      <c r="P161" s="80" t="s">
        <v>10</v>
      </c>
    </row>
    <row r="162" spans="1:16" s="36" customFormat="1" ht="18.5" customHeight="1" x14ac:dyDescent="0.35">
      <c r="A162" s="56"/>
      <c r="B162" s="59"/>
      <c r="C162" s="57"/>
      <c r="D162" s="57"/>
      <c r="E162" s="57"/>
      <c r="F162" s="57"/>
      <c r="G162" s="57"/>
      <c r="H162" s="57"/>
      <c r="I162" s="55"/>
      <c r="J162" s="57"/>
      <c r="K162" s="57"/>
      <c r="L162" s="57"/>
      <c r="M162" s="57"/>
      <c r="N162" s="57"/>
      <c r="O162" s="57"/>
      <c r="P162" s="57"/>
    </row>
    <row r="163" spans="1:16" s="36" customFormat="1" x14ac:dyDescent="0.35">
      <c r="A163" s="56"/>
      <c r="B163" s="59"/>
      <c r="C163" s="57"/>
      <c r="D163" s="57"/>
      <c r="E163" s="57"/>
      <c r="F163" s="57"/>
      <c r="G163" s="57"/>
      <c r="H163" s="57"/>
      <c r="I163" s="55"/>
      <c r="J163" s="57"/>
      <c r="K163" s="57"/>
      <c r="L163" s="57"/>
      <c r="M163" s="57"/>
      <c r="N163" s="57"/>
      <c r="O163" s="57"/>
      <c r="P163" s="57"/>
    </row>
    <row r="164" spans="1:16" s="36" customFormat="1" x14ac:dyDescent="0.35">
      <c r="A164" s="56"/>
      <c r="B164" s="59"/>
      <c r="C164" s="57"/>
      <c r="D164" s="57"/>
      <c r="E164" s="57"/>
      <c r="F164" s="57"/>
      <c r="G164" s="57"/>
      <c r="H164" s="57"/>
      <c r="I164" s="55"/>
      <c r="J164" s="57"/>
      <c r="K164" s="57"/>
      <c r="L164" s="57"/>
      <c r="M164" s="57"/>
      <c r="N164" s="57"/>
      <c r="O164" s="57"/>
      <c r="P164" s="57"/>
    </row>
    <row r="165" spans="1:16" s="36" customFormat="1" x14ac:dyDescent="0.35">
      <c r="A165" s="56"/>
      <c r="B165" s="59"/>
      <c r="C165" s="57"/>
      <c r="D165" s="57"/>
      <c r="E165" s="57"/>
      <c r="F165" s="57"/>
      <c r="G165" s="57"/>
      <c r="H165" s="57"/>
      <c r="I165" s="55"/>
      <c r="J165" s="57"/>
      <c r="K165" s="57"/>
      <c r="L165" s="57"/>
      <c r="M165" s="57"/>
      <c r="N165" s="57"/>
      <c r="O165" s="57"/>
      <c r="P165" s="57"/>
    </row>
    <row r="166" spans="1:16" s="36" customFormat="1" x14ac:dyDescent="0.35">
      <c r="A166" s="56"/>
      <c r="B166" s="59"/>
      <c r="C166" s="57"/>
      <c r="D166" s="57"/>
      <c r="E166" s="57"/>
      <c r="F166" s="57"/>
      <c r="G166" s="57"/>
      <c r="H166" s="57"/>
      <c r="I166" s="55"/>
      <c r="J166" s="57"/>
      <c r="K166" s="57"/>
      <c r="L166" s="57"/>
      <c r="M166" s="57"/>
      <c r="N166" s="57"/>
      <c r="O166" s="57"/>
      <c r="P166" s="57"/>
    </row>
    <row r="167" spans="1:16" s="36" customFormat="1" x14ac:dyDescent="0.35">
      <c r="A167" s="56"/>
      <c r="B167" s="59"/>
      <c r="C167" s="57"/>
      <c r="D167" s="57"/>
      <c r="E167" s="57"/>
      <c r="F167" s="57"/>
      <c r="G167" s="57"/>
      <c r="H167" s="57"/>
      <c r="I167" s="55"/>
      <c r="J167" s="57"/>
      <c r="K167" s="57"/>
      <c r="L167" s="57"/>
      <c r="M167" s="57"/>
      <c r="N167" s="57"/>
      <c r="O167" s="57"/>
      <c r="P167" s="57"/>
    </row>
    <row r="168" spans="1:16" s="36" customFormat="1" x14ac:dyDescent="0.35">
      <c r="A168" s="56"/>
      <c r="B168" s="59"/>
      <c r="C168" s="57"/>
      <c r="D168" s="57"/>
      <c r="E168" s="57"/>
      <c r="F168" s="57"/>
      <c r="G168" s="57"/>
      <c r="H168" s="57"/>
      <c r="I168" s="55"/>
      <c r="J168" s="57"/>
      <c r="K168" s="57"/>
      <c r="L168" s="57"/>
      <c r="M168" s="57"/>
      <c r="N168" s="57"/>
      <c r="O168" s="57"/>
      <c r="P168" s="57"/>
    </row>
    <row r="169" spans="1:16" s="36" customFormat="1" x14ac:dyDescent="0.35">
      <c r="A169" s="28" t="s">
        <v>26</v>
      </c>
      <c r="B169" s="40" t="s">
        <v>352</v>
      </c>
      <c r="C169" s="29" t="s">
        <v>349</v>
      </c>
      <c r="D169" s="29" t="s">
        <v>26</v>
      </c>
      <c r="E169" s="29" t="s">
        <v>350</v>
      </c>
      <c r="F169" s="29" t="s">
        <v>350</v>
      </c>
      <c r="G169" s="29"/>
      <c r="H169" s="29" t="s">
        <v>92</v>
      </c>
      <c r="I169" s="30">
        <v>60000</v>
      </c>
      <c r="J169" s="29"/>
      <c r="K169" s="29" t="s">
        <v>234</v>
      </c>
      <c r="L169" s="29" t="s">
        <v>154</v>
      </c>
      <c r="M169" s="29"/>
      <c r="N169" s="29"/>
      <c r="O169" s="29"/>
      <c r="P169" s="29"/>
    </row>
    <row r="170" spans="1:16" s="36" customFormat="1" x14ac:dyDescent="0.35">
      <c r="A170" s="28" t="s">
        <v>26</v>
      </c>
      <c r="B170" s="40" t="s">
        <v>353</v>
      </c>
      <c r="C170" s="29" t="s">
        <v>349</v>
      </c>
      <c r="D170" s="29" t="s">
        <v>26</v>
      </c>
      <c r="E170" s="29" t="s">
        <v>350</v>
      </c>
      <c r="F170" s="29" t="s">
        <v>350</v>
      </c>
      <c r="G170" s="29"/>
      <c r="H170" s="29" t="s">
        <v>92</v>
      </c>
      <c r="I170" s="30">
        <v>45000</v>
      </c>
      <c r="J170" s="29"/>
      <c r="K170" s="29" t="s">
        <v>234</v>
      </c>
      <c r="L170" s="29" t="s">
        <v>154</v>
      </c>
      <c r="M170" s="29"/>
      <c r="N170" s="29"/>
      <c r="O170" s="29"/>
      <c r="P170" s="29"/>
    </row>
    <row r="171" spans="1:16" s="36" customFormat="1" x14ac:dyDescent="0.35">
      <c r="A171" s="28" t="s">
        <v>26</v>
      </c>
      <c r="B171" s="40" t="s">
        <v>145</v>
      </c>
      <c r="C171" s="29" t="s">
        <v>142</v>
      </c>
      <c r="D171" s="29" t="s">
        <v>26</v>
      </c>
      <c r="E171" s="29" t="s">
        <v>143</v>
      </c>
      <c r="F171" s="29" t="s">
        <v>143</v>
      </c>
      <c r="G171" s="29"/>
      <c r="H171" s="29" t="s">
        <v>92</v>
      </c>
      <c r="I171" s="30">
        <v>20700</v>
      </c>
      <c r="J171" s="29"/>
      <c r="K171" s="29" t="s">
        <v>234</v>
      </c>
      <c r="L171" s="29"/>
      <c r="M171" s="29"/>
      <c r="N171" s="29"/>
      <c r="O171" s="29"/>
      <c r="P171" s="29"/>
    </row>
    <row r="172" spans="1:16" s="36" customFormat="1" x14ac:dyDescent="0.35">
      <c r="A172" s="28" t="s">
        <v>26</v>
      </c>
      <c r="B172" s="40" t="s">
        <v>146</v>
      </c>
      <c r="C172" s="29" t="s">
        <v>142</v>
      </c>
      <c r="D172" s="29" t="s">
        <v>26</v>
      </c>
      <c r="E172" s="29" t="s">
        <v>143</v>
      </c>
      <c r="F172" s="29" t="s">
        <v>143</v>
      </c>
      <c r="G172" s="29"/>
      <c r="H172" s="29" t="s">
        <v>92</v>
      </c>
      <c r="I172" s="30">
        <v>18000</v>
      </c>
      <c r="J172" s="29"/>
      <c r="K172" s="29" t="s">
        <v>234</v>
      </c>
      <c r="L172" s="29"/>
      <c r="M172" s="29"/>
      <c r="N172" s="29"/>
      <c r="O172" s="29"/>
      <c r="P172" s="29"/>
    </row>
    <row r="173" spans="1:16" s="36" customFormat="1" x14ac:dyDescent="0.35">
      <c r="A173" s="28" t="s">
        <v>26</v>
      </c>
      <c r="B173" s="40" t="s">
        <v>147</v>
      </c>
      <c r="C173" s="29" t="s">
        <v>142</v>
      </c>
      <c r="D173" s="29" t="s">
        <v>26</v>
      </c>
      <c r="E173" s="29" t="s">
        <v>143</v>
      </c>
      <c r="F173" s="29" t="s">
        <v>143</v>
      </c>
      <c r="G173" s="29"/>
      <c r="H173" s="29" t="s">
        <v>92</v>
      </c>
      <c r="I173" s="30">
        <v>5150</v>
      </c>
      <c r="J173" s="29"/>
      <c r="K173" s="29" t="s">
        <v>234</v>
      </c>
      <c r="L173" s="29"/>
      <c r="M173" s="29"/>
      <c r="N173" s="29"/>
      <c r="O173" s="29"/>
      <c r="P173" s="29"/>
    </row>
    <row r="174" spans="1:16" s="36" customFormat="1" x14ac:dyDescent="0.35">
      <c r="A174" s="28" t="s">
        <v>26</v>
      </c>
      <c r="B174" s="60" t="s">
        <v>106</v>
      </c>
      <c r="C174" s="29" t="s">
        <v>27</v>
      </c>
      <c r="D174" s="29" t="s">
        <v>26</v>
      </c>
      <c r="E174" s="29" t="s">
        <v>72</v>
      </c>
      <c r="F174" s="29" t="s">
        <v>73</v>
      </c>
      <c r="G174" s="29"/>
      <c r="H174" s="29" t="s">
        <v>92</v>
      </c>
      <c r="I174" s="30">
        <v>15000</v>
      </c>
      <c r="J174" s="29"/>
      <c r="K174" s="29" t="s">
        <v>234</v>
      </c>
      <c r="L174" s="29"/>
      <c r="M174" s="29"/>
      <c r="N174" s="29"/>
      <c r="O174" s="29"/>
      <c r="P174" s="29"/>
    </row>
    <row r="175" spans="1:16" s="36" customFormat="1" x14ac:dyDescent="0.35">
      <c r="A175" s="28" t="s">
        <v>26</v>
      </c>
      <c r="B175" s="60" t="s">
        <v>107</v>
      </c>
      <c r="C175" s="29" t="s">
        <v>27</v>
      </c>
      <c r="D175" s="29" t="s">
        <v>26</v>
      </c>
      <c r="E175" s="29" t="s">
        <v>72</v>
      </c>
      <c r="F175" s="29" t="s">
        <v>73</v>
      </c>
      <c r="G175" s="29"/>
      <c r="H175" s="29" t="s">
        <v>92</v>
      </c>
      <c r="I175" s="30">
        <v>10000</v>
      </c>
      <c r="J175" s="29"/>
      <c r="K175" s="29" t="s">
        <v>234</v>
      </c>
      <c r="L175" s="29"/>
      <c r="M175" s="29"/>
      <c r="N175" s="29"/>
      <c r="O175" s="29"/>
      <c r="P175" s="29"/>
    </row>
    <row r="176" spans="1:16" s="36" customFormat="1" x14ac:dyDescent="0.35">
      <c r="A176" s="56"/>
      <c r="B176" s="59"/>
      <c r="C176" s="57"/>
      <c r="D176" s="57"/>
      <c r="E176" s="57"/>
      <c r="F176" s="57"/>
      <c r="G176" s="57"/>
      <c r="H176" s="57"/>
      <c r="I176" s="55"/>
      <c r="J176" s="57"/>
      <c r="K176" s="57"/>
      <c r="L176" s="57"/>
      <c r="M176" s="57"/>
      <c r="N176" s="57"/>
      <c r="O176" s="57"/>
      <c r="P176" s="57"/>
    </row>
    <row r="177" spans="1:16" s="36" customFormat="1" x14ac:dyDescent="0.35">
      <c r="A177" s="56"/>
      <c r="B177" s="59"/>
      <c r="C177" s="57"/>
      <c r="D177" s="57"/>
      <c r="E177" s="57"/>
      <c r="F177" s="57"/>
      <c r="G177" s="57"/>
      <c r="H177" s="57"/>
      <c r="I177" s="55"/>
      <c r="J177" s="57"/>
      <c r="K177" s="57"/>
      <c r="L177" s="57"/>
      <c r="M177" s="57"/>
      <c r="N177" s="57"/>
      <c r="O177" s="57"/>
      <c r="P177" s="57"/>
    </row>
    <row r="178" spans="1:16" s="36" customFormat="1" x14ac:dyDescent="0.35">
      <c r="A178" s="56"/>
      <c r="B178" s="59"/>
      <c r="C178" s="57"/>
      <c r="D178" s="57"/>
      <c r="E178" s="57"/>
      <c r="F178" s="57"/>
      <c r="G178" s="57"/>
      <c r="H178" s="57"/>
      <c r="I178" s="55"/>
      <c r="J178" s="57"/>
      <c r="K178" s="57"/>
      <c r="L178" s="57"/>
      <c r="M178" s="57"/>
      <c r="N178" s="57"/>
      <c r="O178" s="57"/>
      <c r="P178" s="57"/>
    </row>
    <row r="179" spans="1:16" s="36" customFormat="1" x14ac:dyDescent="0.35">
      <c r="A179" s="56"/>
      <c r="B179" s="59"/>
      <c r="C179" s="57"/>
      <c r="D179" s="57"/>
      <c r="E179" s="57"/>
      <c r="F179" s="57"/>
      <c r="G179" s="57"/>
      <c r="H179" s="57"/>
      <c r="I179" s="55"/>
      <c r="J179" s="57"/>
      <c r="K179" s="57"/>
      <c r="L179" s="57"/>
      <c r="M179" s="57"/>
      <c r="N179" s="57"/>
      <c r="O179" s="57"/>
      <c r="P179" s="57"/>
    </row>
    <row r="180" spans="1:16" s="36" customFormat="1" x14ac:dyDescent="0.35">
      <c r="A180" s="56"/>
      <c r="B180" s="59"/>
      <c r="C180" s="57"/>
      <c r="D180" s="57"/>
      <c r="E180" s="57"/>
      <c r="F180" s="57"/>
      <c r="G180" s="57"/>
      <c r="H180" s="57"/>
      <c r="I180" s="55"/>
      <c r="J180" s="57"/>
      <c r="K180" s="57"/>
      <c r="L180" s="57"/>
      <c r="M180" s="57"/>
      <c r="N180" s="57"/>
      <c r="O180" s="57"/>
      <c r="P180" s="57"/>
    </row>
    <row r="181" spans="1:16" s="36" customFormat="1" x14ac:dyDescent="0.35">
      <c r="A181" s="56"/>
      <c r="B181" s="59"/>
      <c r="C181" s="57"/>
      <c r="D181" s="57"/>
      <c r="E181" s="57"/>
      <c r="F181" s="57"/>
      <c r="G181" s="57"/>
      <c r="H181" s="57"/>
      <c r="I181" s="55"/>
      <c r="J181" s="57"/>
      <c r="K181" s="57"/>
      <c r="L181" s="57"/>
      <c r="M181" s="57"/>
      <c r="N181" s="57"/>
      <c r="O181" s="57"/>
      <c r="P181" s="57"/>
    </row>
    <row r="182" spans="1:16" s="36" customFormat="1" x14ac:dyDescent="0.35">
      <c r="A182" s="56"/>
      <c r="B182" s="59"/>
      <c r="C182" s="57"/>
      <c r="D182" s="57"/>
      <c r="E182" s="57"/>
      <c r="F182" s="57"/>
      <c r="G182" s="57"/>
      <c r="H182" s="57"/>
      <c r="I182" s="55"/>
      <c r="J182" s="57"/>
      <c r="K182" s="57"/>
      <c r="L182" s="57"/>
      <c r="M182" s="57"/>
      <c r="N182" s="57"/>
      <c r="O182" s="57"/>
      <c r="P182" s="57"/>
    </row>
    <row r="183" spans="1:16" s="36" customFormat="1" x14ac:dyDescent="0.35">
      <c r="A183" s="56"/>
      <c r="B183" s="59"/>
      <c r="C183" s="57"/>
      <c r="D183" s="57"/>
      <c r="E183" s="57"/>
      <c r="F183" s="57"/>
      <c r="G183" s="57"/>
      <c r="H183" s="57"/>
      <c r="I183" s="55"/>
      <c r="J183" s="57"/>
      <c r="K183" s="57"/>
      <c r="L183" s="57"/>
      <c r="M183" s="57"/>
      <c r="N183" s="57"/>
      <c r="O183" s="57"/>
      <c r="P183" s="57"/>
    </row>
    <row r="184" spans="1:16" s="36" customFormat="1" x14ac:dyDescent="0.35">
      <c r="A184" s="56"/>
      <c r="B184" s="59"/>
      <c r="C184" s="57"/>
      <c r="D184" s="57"/>
      <c r="E184" s="57"/>
      <c r="F184" s="57"/>
      <c r="G184" s="57"/>
      <c r="H184" s="57"/>
      <c r="I184" s="55"/>
      <c r="J184" s="57"/>
      <c r="K184" s="57"/>
      <c r="L184" s="57"/>
      <c r="M184" s="57"/>
      <c r="N184" s="57"/>
      <c r="O184" s="57"/>
      <c r="P184" s="57"/>
    </row>
    <row r="185" spans="1:16" s="36" customFormat="1" x14ac:dyDescent="0.35">
      <c r="A185" s="56"/>
      <c r="B185" s="59"/>
      <c r="C185" s="57"/>
      <c r="D185" s="57"/>
      <c r="E185" s="57"/>
      <c r="F185" s="57"/>
      <c r="G185" s="57"/>
      <c r="H185" s="57"/>
      <c r="I185" s="55"/>
      <c r="J185" s="57"/>
      <c r="K185" s="57"/>
      <c r="L185" s="57"/>
      <c r="M185" s="57"/>
      <c r="N185" s="57"/>
      <c r="O185" s="57"/>
      <c r="P185" s="57"/>
    </row>
    <row r="186" spans="1:16" x14ac:dyDescent="0.35">
      <c r="A186" s="56"/>
      <c r="B186" s="59"/>
      <c r="C186" s="57"/>
      <c r="D186" s="57"/>
      <c r="E186" s="57"/>
      <c r="F186" s="57"/>
      <c r="G186" s="57"/>
      <c r="H186" s="57"/>
      <c r="I186" s="55"/>
      <c r="J186" s="57"/>
      <c r="K186" s="57"/>
      <c r="L186" s="57"/>
      <c r="M186" s="57"/>
      <c r="N186" s="57"/>
      <c r="O186" s="57"/>
      <c r="P186" s="57"/>
    </row>
    <row r="187" spans="1:16" x14ac:dyDescent="0.35">
      <c r="A187" s="56"/>
      <c r="B187" s="59"/>
      <c r="C187" s="57"/>
      <c r="D187" s="57"/>
      <c r="E187" s="57"/>
      <c r="F187" s="57"/>
      <c r="G187" s="57"/>
      <c r="H187" s="57"/>
      <c r="I187" s="55"/>
      <c r="J187" s="57"/>
      <c r="K187" s="57"/>
      <c r="L187" s="57"/>
      <c r="M187" s="57"/>
      <c r="N187" s="57"/>
      <c r="O187" s="57"/>
      <c r="P187" s="57"/>
    </row>
    <row r="189" spans="1:16" ht="18" thickBot="1" x14ac:dyDescent="0.4"/>
    <row r="190" spans="1:16" ht="26" thickTop="1" thickBot="1" x14ac:dyDescent="0.4">
      <c r="F190" s="71"/>
      <c r="G190" s="37" t="s">
        <v>227</v>
      </c>
      <c r="H190" s="64">
        <f>SUMIF(D2:D1072,"مدفوع",I2:I1072)-748000</f>
        <v>944574.3199999996</v>
      </c>
    </row>
    <row r="191" spans="1:16" ht="26" thickTop="1" thickBot="1" x14ac:dyDescent="0.4">
      <c r="E191" s="67"/>
      <c r="F191" s="71"/>
      <c r="G191" s="38" t="s">
        <v>226</v>
      </c>
      <c r="H191" s="65">
        <f>SUMIF(D2:D1072,"مستقبلي",I2:I1072)</f>
        <v>173850</v>
      </c>
    </row>
    <row r="192" spans="1:16" ht="26" thickTop="1" thickBot="1" x14ac:dyDescent="0.4">
      <c r="E192" s="67"/>
      <c r="F192" s="71"/>
      <c r="G192" s="39" t="s">
        <v>225</v>
      </c>
      <c r="H192" s="66">
        <f>SUMIF(D2:D1072,"مدفوع",I2:I1072)</f>
        <v>1692574.3199999996</v>
      </c>
    </row>
    <row r="193" spans="5:8" ht="18" thickTop="1" x14ac:dyDescent="0.35">
      <c r="E193" s="67"/>
    </row>
    <row r="194" spans="5:8" x14ac:dyDescent="0.35">
      <c r="E194" s="67"/>
    </row>
    <row r="196" spans="5:8" ht="18" x14ac:dyDescent="0.35">
      <c r="E196" s="68"/>
      <c r="H196" s="63"/>
    </row>
  </sheetData>
  <mergeCells count="1">
    <mergeCell ref="A2:P2"/>
  </mergeCells>
  <dataValidations count="1">
    <dataValidation type="list" allowBlank="1" showInputMessage="1" showErrorMessage="1" sqref="D5:D187" xr:uid="{8DD4A2C2-2D88-4DA6-AAB9-88AA2C531F27}">
      <formula1>$D$5:$D$187</formula1>
    </dataValidation>
  </dataValidations>
  <pageMargins left="0.7" right="0.7" top="0.75" bottom="0.75" header="0.3" footer="0.3"/>
  <pageSetup paperSize="9" orientation="portrait" r:id="rId1"/>
  <ignoredErrors>
    <ignoredError sqref="M8 M84 M79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E8CA6-53FA-4C7F-8D77-23C70A60C36D}">
  <sheetPr codeName="Sheet2"/>
  <dimension ref="A3:N80"/>
  <sheetViews>
    <sheetView rightToLeft="1" topLeftCell="H57" zoomScaleNormal="100" workbookViewId="0">
      <selection activeCell="I67" sqref="I67"/>
    </sheetView>
  </sheetViews>
  <sheetFormatPr defaultColWidth="22.90625" defaultRowHeight="19.5" x14ac:dyDescent="0.45"/>
  <cols>
    <col min="1" max="1" width="21.90625" style="3" bestFit="1" customWidth="1"/>
    <col min="2" max="2" width="19" style="2" bestFit="1" customWidth="1"/>
    <col min="3" max="3" width="15.453125" style="2" bestFit="1" customWidth="1"/>
    <col min="4" max="4" width="14.453125" style="2" bestFit="1" customWidth="1"/>
    <col min="5" max="5" width="14.81640625" style="2" bestFit="1" customWidth="1"/>
    <col min="6" max="6" width="26.453125" style="2" bestFit="1" customWidth="1"/>
    <col min="7" max="7" width="14.81640625" style="2" customWidth="1"/>
    <col min="8" max="8" width="13.6328125" style="2" bestFit="1" customWidth="1"/>
    <col min="9" max="9" width="51.1796875" style="2" bestFit="1" customWidth="1"/>
    <col min="10" max="10" width="17.453125" style="2" bestFit="1" customWidth="1"/>
    <col min="11" max="11" width="6.1796875" style="2" bestFit="1" customWidth="1"/>
    <col min="12" max="12" width="11.26953125" style="2" bestFit="1" customWidth="1"/>
    <col min="13" max="16384" width="22.90625" style="2"/>
  </cols>
  <sheetData>
    <row r="3" spans="1:11" ht="39.5" x14ac:dyDescent="0.45">
      <c r="A3" s="12" t="s">
        <v>126</v>
      </c>
      <c r="B3" s="13"/>
      <c r="C3" s="13"/>
      <c r="D3" s="13"/>
      <c r="E3" s="13"/>
      <c r="F3" s="13"/>
      <c r="G3" s="13"/>
      <c r="H3" s="13"/>
    </row>
    <row r="5" spans="1:11" s="7" customFormat="1" ht="39" x14ac:dyDescent="0.35">
      <c r="A5" s="17" t="s">
        <v>1</v>
      </c>
      <c r="B5" s="18" t="s">
        <v>160</v>
      </c>
      <c r="C5" s="18" t="s">
        <v>159</v>
      </c>
      <c r="D5" s="19" t="s">
        <v>4</v>
      </c>
      <c r="E5" s="19" t="s">
        <v>149</v>
      </c>
      <c r="F5" s="19" t="s">
        <v>150</v>
      </c>
      <c r="G5" s="18" t="s">
        <v>6</v>
      </c>
      <c r="H5" s="20" t="s">
        <v>7</v>
      </c>
      <c r="I5" s="18" t="s">
        <v>269</v>
      </c>
    </row>
    <row r="6" spans="1:11" x14ac:dyDescent="0.45">
      <c r="A6" s="43">
        <v>46042</v>
      </c>
      <c r="B6" s="44" t="s">
        <v>152</v>
      </c>
      <c r="C6" s="44" t="s">
        <v>152</v>
      </c>
      <c r="D6" s="44" t="s">
        <v>152</v>
      </c>
      <c r="E6" s="44">
        <v>289.75</v>
      </c>
      <c r="F6" s="44">
        <v>200</v>
      </c>
      <c r="G6" s="45">
        <f>Table83[[#This Row],[سعر المتر]]*Table83[[#This Row],[الكمية]]</f>
        <v>57950</v>
      </c>
      <c r="H6" s="46" t="s">
        <v>151</v>
      </c>
      <c r="J6" s="2" t="s">
        <v>163</v>
      </c>
      <c r="K6" s="52"/>
    </row>
    <row r="7" spans="1:11" ht="39" x14ac:dyDescent="0.45">
      <c r="A7" s="47">
        <v>46042</v>
      </c>
      <c r="B7" s="48" t="s">
        <v>122</v>
      </c>
      <c r="C7" s="48" t="s">
        <v>157</v>
      </c>
      <c r="D7" s="52" t="s">
        <v>163</v>
      </c>
      <c r="E7" s="49">
        <v>289.75</v>
      </c>
      <c r="F7" s="49">
        <v>-178</v>
      </c>
      <c r="G7" s="50">
        <f>Table83[[#This Row],[سعر المتر]]*Table83[[#This Row],[الكمية]]</f>
        <v>-51575.5</v>
      </c>
      <c r="H7" s="51" t="s">
        <v>151</v>
      </c>
      <c r="J7" s="2" t="s">
        <v>162</v>
      </c>
      <c r="K7" s="53"/>
    </row>
    <row r="8" spans="1:11" ht="39" x14ac:dyDescent="0.45">
      <c r="A8" s="47">
        <v>46054</v>
      </c>
      <c r="B8" s="48" t="s">
        <v>170</v>
      </c>
      <c r="C8" s="48" t="s">
        <v>158</v>
      </c>
      <c r="D8" s="52" t="s">
        <v>163</v>
      </c>
      <c r="E8" s="49">
        <v>289.75</v>
      </c>
      <c r="F8" s="49">
        <v>-15</v>
      </c>
      <c r="G8" s="50">
        <f>Table83[[#This Row],[سعر المتر]]*Table83[[#This Row],[الكمية]]</f>
        <v>-4346.25</v>
      </c>
      <c r="H8" s="51" t="s">
        <v>151</v>
      </c>
    </row>
    <row r="9" spans="1:11" x14ac:dyDescent="0.45">
      <c r="A9" s="43">
        <v>46055</v>
      </c>
      <c r="B9" s="44" t="s">
        <v>152</v>
      </c>
      <c r="C9" s="44" t="s">
        <v>152</v>
      </c>
      <c r="D9" s="44" t="s">
        <v>152</v>
      </c>
      <c r="E9" s="44">
        <v>289.75</v>
      </c>
      <c r="F9" s="44">
        <v>10</v>
      </c>
      <c r="G9" s="45">
        <f>Table83[[#This Row],[سعر المتر]]*Table83[[#This Row],[الكمية]]</f>
        <v>2897.5</v>
      </c>
      <c r="H9" s="46" t="s">
        <v>151</v>
      </c>
    </row>
    <row r="10" spans="1:11" ht="39" x14ac:dyDescent="0.45">
      <c r="A10" s="47">
        <v>46055</v>
      </c>
      <c r="B10" s="48" t="s">
        <v>161</v>
      </c>
      <c r="C10" s="48" t="s">
        <v>171</v>
      </c>
      <c r="D10" s="52" t="s">
        <v>163</v>
      </c>
      <c r="E10" s="49">
        <v>289.75</v>
      </c>
      <c r="F10" s="49">
        <v>-8</v>
      </c>
      <c r="G10" s="50">
        <f>Table83[[#This Row],[سعر المتر]]*Table83[[#This Row],[الكمية]]</f>
        <v>-2318</v>
      </c>
      <c r="H10" s="51" t="s">
        <v>151</v>
      </c>
    </row>
    <row r="11" spans="1:11" x14ac:dyDescent="0.45">
      <c r="A11" s="43">
        <v>46064</v>
      </c>
      <c r="B11" s="44" t="s">
        <v>152</v>
      </c>
      <c r="C11" s="44" t="s">
        <v>152</v>
      </c>
      <c r="D11" s="44" t="s">
        <v>152</v>
      </c>
      <c r="E11" s="44">
        <v>289.75</v>
      </c>
      <c r="F11" s="44">
        <v>15</v>
      </c>
      <c r="G11" s="45">
        <f>Table83[[#This Row],[سعر المتر]]*Table83[[#This Row],[الكمية]]</f>
        <v>4346.25</v>
      </c>
      <c r="H11" s="46" t="s">
        <v>151</v>
      </c>
    </row>
    <row r="12" spans="1:11" ht="39" x14ac:dyDescent="0.45">
      <c r="A12" s="47">
        <v>46064</v>
      </c>
      <c r="B12" s="48" t="s">
        <v>181</v>
      </c>
      <c r="C12" s="48" t="s">
        <v>182</v>
      </c>
      <c r="D12" s="52" t="s">
        <v>163</v>
      </c>
      <c r="E12" s="49">
        <v>289.75</v>
      </c>
      <c r="F12" s="49">
        <v>-18</v>
      </c>
      <c r="G12" s="50">
        <f>Table83[[#This Row],[سعر المتر]]*Table83[[#This Row],[الكمية]]</f>
        <v>-5215.5</v>
      </c>
      <c r="H12" s="51" t="s">
        <v>151</v>
      </c>
    </row>
    <row r="13" spans="1:11" x14ac:dyDescent="0.45">
      <c r="A13" s="43">
        <v>46075</v>
      </c>
      <c r="B13" s="44" t="s">
        <v>152</v>
      </c>
      <c r="C13" s="44" t="s">
        <v>152</v>
      </c>
      <c r="D13" s="44" t="s">
        <v>152</v>
      </c>
      <c r="E13" s="44">
        <v>289.75</v>
      </c>
      <c r="F13" s="44">
        <v>30</v>
      </c>
      <c r="G13" s="45">
        <f>Table83[[#This Row],[سعر المتر]]*Table83[[#This Row],[الكمية]]</f>
        <v>8692.5</v>
      </c>
      <c r="H13" s="46" t="s">
        <v>151</v>
      </c>
    </row>
    <row r="14" spans="1:11" x14ac:dyDescent="0.45">
      <c r="A14" s="43">
        <v>46077</v>
      </c>
      <c r="B14" s="44" t="s">
        <v>152</v>
      </c>
      <c r="C14" s="44" t="s">
        <v>152</v>
      </c>
      <c r="D14" s="44" t="s">
        <v>152</v>
      </c>
      <c r="E14" s="44">
        <v>289.75</v>
      </c>
      <c r="F14" s="44">
        <v>20</v>
      </c>
      <c r="G14" s="45">
        <f>Table83[[#This Row],[سعر المتر]]*Table83[[#This Row],[الكمية]]</f>
        <v>5795</v>
      </c>
      <c r="H14" s="46" t="s">
        <v>151</v>
      </c>
    </row>
    <row r="15" spans="1:11" ht="39" x14ac:dyDescent="0.45">
      <c r="A15" s="47">
        <v>46077</v>
      </c>
      <c r="B15" s="48" t="s">
        <v>187</v>
      </c>
      <c r="C15" s="48" t="s">
        <v>188</v>
      </c>
      <c r="D15" s="52" t="s">
        <v>163</v>
      </c>
      <c r="E15" s="49">
        <v>289.75</v>
      </c>
      <c r="F15" s="49">
        <v>-45</v>
      </c>
      <c r="G15" s="50">
        <f>Table83[[#This Row],[سعر المتر]]*Table83[[#This Row],[الكمية]]</f>
        <v>-13038.75</v>
      </c>
      <c r="H15" s="51" t="s">
        <v>151</v>
      </c>
    </row>
    <row r="16" spans="1:11" x14ac:dyDescent="0.45">
      <c r="A16" s="43">
        <v>46096</v>
      </c>
      <c r="B16" s="44" t="s">
        <v>152</v>
      </c>
      <c r="C16" s="44" t="s">
        <v>152</v>
      </c>
      <c r="D16" s="44" t="s">
        <v>152</v>
      </c>
      <c r="E16" s="44">
        <v>289.75</v>
      </c>
      <c r="F16" s="44">
        <v>18</v>
      </c>
      <c r="G16" s="45">
        <f>Table83[[#This Row],[سعر المتر]]*Table83[[#This Row],[الكمية]]</f>
        <v>5215.5</v>
      </c>
      <c r="H16" s="46" t="s">
        <v>151</v>
      </c>
    </row>
    <row r="17" spans="1:8" ht="39" x14ac:dyDescent="0.45">
      <c r="A17" s="47">
        <v>46099</v>
      </c>
      <c r="B17" s="48" t="s">
        <v>205</v>
      </c>
      <c r="C17" s="48" t="s">
        <v>206</v>
      </c>
      <c r="D17" s="52" t="s">
        <v>163</v>
      </c>
      <c r="E17" s="49">
        <v>289.75</v>
      </c>
      <c r="F17" s="49">
        <v>-28</v>
      </c>
      <c r="G17" s="50">
        <f>Table83[[#This Row],[سعر المتر]]*Table83[[#This Row],[الكمية]]</f>
        <v>-8113</v>
      </c>
      <c r="H17" s="51" t="s">
        <v>151</v>
      </c>
    </row>
    <row r="18" spans="1:8" x14ac:dyDescent="0.45">
      <c r="A18" s="43">
        <v>46116</v>
      </c>
      <c r="B18" s="44" t="s">
        <v>152</v>
      </c>
      <c r="C18" s="44" t="s">
        <v>152</v>
      </c>
      <c r="D18" s="44" t="s">
        <v>152</v>
      </c>
      <c r="E18" s="44">
        <v>289.75</v>
      </c>
      <c r="F18" s="44">
        <v>20</v>
      </c>
      <c r="G18" s="45">
        <f>Table83[[#This Row],[سعر المتر]]*Table83[[#This Row],[الكمية]]</f>
        <v>5795</v>
      </c>
      <c r="H18" s="46" t="s">
        <v>151</v>
      </c>
    </row>
    <row r="19" spans="1:8" ht="39" x14ac:dyDescent="0.45">
      <c r="A19" s="47">
        <v>46120</v>
      </c>
      <c r="B19" s="48" t="s">
        <v>217</v>
      </c>
      <c r="C19" s="48" t="s">
        <v>182</v>
      </c>
      <c r="D19" s="52" t="s">
        <v>163</v>
      </c>
      <c r="E19" s="49">
        <v>289.75</v>
      </c>
      <c r="F19" s="49">
        <v>-18</v>
      </c>
      <c r="G19" s="50">
        <f>Table83[[#This Row],[سعر المتر]]*Table83[[#This Row],[الكمية]]</f>
        <v>-5215.5</v>
      </c>
      <c r="H19" s="51" t="s">
        <v>151</v>
      </c>
    </row>
    <row r="20" spans="1:8" x14ac:dyDescent="0.45">
      <c r="A20" s="43">
        <v>46144</v>
      </c>
      <c r="B20" s="44" t="s">
        <v>152</v>
      </c>
      <c r="C20" s="44" t="s">
        <v>152</v>
      </c>
      <c r="D20" s="44" t="s">
        <v>152</v>
      </c>
      <c r="E20" s="44">
        <v>289.75</v>
      </c>
      <c r="F20" s="44">
        <v>12</v>
      </c>
      <c r="G20" s="45">
        <f>Table83[[#This Row],[سعر المتر]]*Table83[[#This Row],[الكمية]]</f>
        <v>3477</v>
      </c>
      <c r="H20" s="46" t="s">
        <v>151</v>
      </c>
    </row>
    <row r="21" spans="1:8" ht="39" x14ac:dyDescent="0.45">
      <c r="A21" s="47">
        <v>46145</v>
      </c>
      <c r="B21" s="48" t="s">
        <v>252</v>
      </c>
      <c r="C21" s="48" t="s">
        <v>253</v>
      </c>
      <c r="D21" s="52" t="s">
        <v>163</v>
      </c>
      <c r="E21" s="49">
        <v>289.75</v>
      </c>
      <c r="F21" s="49">
        <v>-10</v>
      </c>
      <c r="G21" s="50">
        <f>Table83[[#This Row],[سعر المتر]]*Table83[[#This Row],[الكمية]]</f>
        <v>-2897.5</v>
      </c>
      <c r="H21" s="51" t="s">
        <v>151</v>
      </c>
    </row>
    <row r="22" spans="1:8" x14ac:dyDescent="0.45">
      <c r="A22" s="43">
        <v>46151</v>
      </c>
      <c r="B22" s="44" t="s">
        <v>152</v>
      </c>
      <c r="C22" s="44" t="s">
        <v>152</v>
      </c>
      <c r="D22" s="44" t="s">
        <v>152</v>
      </c>
      <c r="E22" s="44">
        <v>289.75</v>
      </c>
      <c r="F22" s="44">
        <v>10</v>
      </c>
      <c r="G22" s="45">
        <f>Table83[[#This Row],[سعر المتر]]*Table83[[#This Row],[الكمية]]</f>
        <v>2897.5</v>
      </c>
      <c r="H22" s="46" t="s">
        <v>151</v>
      </c>
    </row>
    <row r="23" spans="1:8" ht="39" x14ac:dyDescent="0.45">
      <c r="A23" s="47">
        <v>46152</v>
      </c>
      <c r="B23" s="48" t="s">
        <v>252</v>
      </c>
      <c r="C23" s="48" t="s">
        <v>255</v>
      </c>
      <c r="D23" s="52" t="s">
        <v>163</v>
      </c>
      <c r="E23" s="49">
        <v>289.75</v>
      </c>
      <c r="F23" s="49">
        <v>-6</v>
      </c>
      <c r="G23" s="50">
        <f>Table83[[#This Row],[سعر المتر]]*Table83[[#This Row],[الكمية]]</f>
        <v>-1738.5</v>
      </c>
      <c r="H23" s="51" t="s">
        <v>151</v>
      </c>
    </row>
    <row r="24" spans="1:8" x14ac:dyDescent="0.45">
      <c r="A24" s="43">
        <v>46180</v>
      </c>
      <c r="B24" s="44" t="s">
        <v>152</v>
      </c>
      <c r="C24" s="44" t="s">
        <v>152</v>
      </c>
      <c r="D24" s="44" t="s">
        <v>152</v>
      </c>
      <c r="E24" s="44">
        <v>289.75</v>
      </c>
      <c r="F24" s="44">
        <v>36</v>
      </c>
      <c r="G24" s="45">
        <f>Table83[[#This Row],[سعر المتر]]*Table83[[#This Row],[الكمية]]</f>
        <v>10431</v>
      </c>
      <c r="H24" s="46" t="s">
        <v>151</v>
      </c>
    </row>
    <row r="25" spans="1:8" x14ac:dyDescent="0.45">
      <c r="A25" s="43">
        <v>46180</v>
      </c>
      <c r="B25" s="44" t="s">
        <v>152</v>
      </c>
      <c r="C25" s="44" t="s">
        <v>152</v>
      </c>
      <c r="D25" s="44" t="s">
        <v>152</v>
      </c>
      <c r="E25" s="44">
        <v>289.75</v>
      </c>
      <c r="F25" s="44">
        <v>55</v>
      </c>
      <c r="G25" s="45">
        <f>Table83[[#This Row],[سعر المتر]]*Table83[[#This Row],[الكمية]]</f>
        <v>15936.25</v>
      </c>
      <c r="H25" s="46" t="s">
        <v>151</v>
      </c>
    </row>
    <row r="26" spans="1:8" ht="39" x14ac:dyDescent="0.45">
      <c r="A26" s="47">
        <v>46181</v>
      </c>
      <c r="B26" s="48" t="s">
        <v>271</v>
      </c>
      <c r="C26" s="48" t="s">
        <v>272</v>
      </c>
      <c r="D26" s="52" t="s">
        <v>163</v>
      </c>
      <c r="E26" s="49">
        <v>289.75</v>
      </c>
      <c r="F26" s="49">
        <v>-96</v>
      </c>
      <c r="G26" s="50">
        <f>Table83[[#This Row],[سعر المتر]]*Table83[[#This Row],[الكمية]]</f>
        <v>-27816</v>
      </c>
      <c r="H26" s="51" t="s">
        <v>151</v>
      </c>
    </row>
    <row r="27" spans="1:8" ht="39" x14ac:dyDescent="0.45">
      <c r="A27" s="47">
        <v>46181</v>
      </c>
      <c r="B27" s="48" t="s">
        <v>273</v>
      </c>
      <c r="C27" s="48" t="s">
        <v>272</v>
      </c>
      <c r="D27" s="52" t="s">
        <v>163</v>
      </c>
      <c r="E27" s="49">
        <v>5.75</v>
      </c>
      <c r="F27" s="49">
        <v>-96</v>
      </c>
      <c r="G27" s="50">
        <f>Table83[[#This Row],[سعر المتر]]*Table83[[#This Row],[الكمية]]</f>
        <v>-552</v>
      </c>
      <c r="H27" s="51" t="s">
        <v>151</v>
      </c>
    </row>
    <row r="28" spans="1:8" x14ac:dyDescent="0.45">
      <c r="A28" s="43">
        <v>46180</v>
      </c>
      <c r="B28" s="44" t="s">
        <v>152</v>
      </c>
      <c r="C28" s="44" t="s">
        <v>152</v>
      </c>
      <c r="D28" s="44" t="s">
        <v>152</v>
      </c>
      <c r="E28" s="44">
        <v>289.75</v>
      </c>
      <c r="F28" s="44">
        <v>55</v>
      </c>
      <c r="G28" s="45">
        <v>262.25</v>
      </c>
      <c r="H28" s="46" t="s">
        <v>151</v>
      </c>
    </row>
    <row r="29" spans="1:8" x14ac:dyDescent="0.45">
      <c r="A29" s="43">
        <v>46190</v>
      </c>
      <c r="B29" s="44" t="s">
        <v>152</v>
      </c>
      <c r="C29" s="44" t="s">
        <v>152</v>
      </c>
      <c r="D29" s="44" t="s">
        <v>152</v>
      </c>
      <c r="E29" s="44">
        <v>289.75</v>
      </c>
      <c r="F29" s="44">
        <v>15</v>
      </c>
      <c r="G29" s="45">
        <f>Table83[[#This Row],[سعر المتر]]*Table83[[#This Row],[الكمية]]</f>
        <v>4346.25</v>
      </c>
      <c r="H29" s="46" t="s">
        <v>151</v>
      </c>
    </row>
    <row r="30" spans="1:8" ht="39" x14ac:dyDescent="0.45">
      <c r="A30" s="47">
        <v>46181</v>
      </c>
      <c r="B30" s="48" t="s">
        <v>282</v>
      </c>
      <c r="C30" s="14" t="s">
        <v>287</v>
      </c>
      <c r="D30" s="52" t="s">
        <v>163</v>
      </c>
      <c r="E30" s="49">
        <v>289.75</v>
      </c>
      <c r="F30" s="1">
        <v>-15</v>
      </c>
      <c r="G30" s="50">
        <f>Table83[[#This Row],[سعر المتر]]*Table83[[#This Row],[الكمية]]</f>
        <v>-4346.25</v>
      </c>
      <c r="H30" s="51" t="s">
        <v>151</v>
      </c>
    </row>
    <row r="31" spans="1:8" ht="39" x14ac:dyDescent="0.45">
      <c r="A31" s="47">
        <v>46181</v>
      </c>
      <c r="B31" s="48" t="s">
        <v>293</v>
      </c>
      <c r="C31" s="14" t="s">
        <v>287</v>
      </c>
      <c r="D31" s="52" t="s">
        <v>163</v>
      </c>
      <c r="E31" s="49">
        <v>5.75</v>
      </c>
      <c r="F31" s="1">
        <v>-15</v>
      </c>
      <c r="G31" s="50">
        <f>Table83[[#This Row],[سعر المتر]]*Table83[[#This Row],[الكمية]]</f>
        <v>-86.25</v>
      </c>
      <c r="H31" s="51" t="s">
        <v>151</v>
      </c>
    </row>
    <row r="32" spans="1:8" ht="39" x14ac:dyDescent="0.45">
      <c r="A32" s="73">
        <v>46181</v>
      </c>
      <c r="B32" s="14" t="s">
        <v>292</v>
      </c>
      <c r="C32" s="14" t="s">
        <v>291</v>
      </c>
      <c r="D32" s="52" t="s">
        <v>163</v>
      </c>
      <c r="E32" s="49">
        <v>289.75</v>
      </c>
      <c r="F32" s="1">
        <v>-10</v>
      </c>
      <c r="G32" s="50">
        <f>Table83[[#This Row],[سعر المتر]]*Table83[[#This Row],[الكمية]]</f>
        <v>-2897.5</v>
      </c>
      <c r="H32" s="51" t="s">
        <v>151</v>
      </c>
    </row>
    <row r="33" spans="1:8" x14ac:dyDescent="0.45">
      <c r="A33" s="43">
        <v>46197</v>
      </c>
      <c r="B33" s="44" t="s">
        <v>152</v>
      </c>
      <c r="C33" s="44" t="s">
        <v>152</v>
      </c>
      <c r="D33" s="44" t="s">
        <v>152</v>
      </c>
      <c r="E33" s="44">
        <v>289.75</v>
      </c>
      <c r="F33" s="44">
        <v>14</v>
      </c>
      <c r="G33" s="45">
        <f>Table83[[#This Row],[سعر المتر]]*Table83[[#This Row],[الكمية]]</f>
        <v>4056.5</v>
      </c>
      <c r="H33" s="46" t="s">
        <v>151</v>
      </c>
    </row>
    <row r="34" spans="1:8" ht="39" x14ac:dyDescent="0.45">
      <c r="A34" s="47">
        <v>46218</v>
      </c>
      <c r="B34" s="48" t="s">
        <v>316</v>
      </c>
      <c r="C34" s="14" t="s">
        <v>287</v>
      </c>
      <c r="D34" s="52" t="s">
        <v>163</v>
      </c>
      <c r="E34" s="49">
        <v>289.75</v>
      </c>
      <c r="F34" s="1">
        <v>-8</v>
      </c>
      <c r="G34" s="50">
        <f>Table83[[#This Row],[سعر المتر]]*Table83[[#This Row],[الكمية]]</f>
        <v>-2318</v>
      </c>
      <c r="H34" s="51" t="s">
        <v>151</v>
      </c>
    </row>
    <row r="35" spans="1:8" x14ac:dyDescent="0.45">
      <c r="A35" s="43">
        <v>46218</v>
      </c>
      <c r="B35" s="44" t="s">
        <v>152</v>
      </c>
      <c r="C35" s="44" t="s">
        <v>152</v>
      </c>
      <c r="D35" s="44" t="s">
        <v>152</v>
      </c>
      <c r="E35" s="44"/>
      <c r="F35" s="44"/>
      <c r="G35" s="45">
        <v>955.5</v>
      </c>
      <c r="H35" s="46" t="s">
        <v>151</v>
      </c>
    </row>
    <row r="36" spans="1:8" x14ac:dyDescent="0.45">
      <c r="A36" s="43">
        <v>46242</v>
      </c>
      <c r="B36" s="44" t="s">
        <v>152</v>
      </c>
      <c r="C36" s="44" t="s">
        <v>152</v>
      </c>
      <c r="D36" s="44" t="s">
        <v>152</v>
      </c>
      <c r="E36" s="44"/>
      <c r="F36" s="44"/>
      <c r="G36" s="45">
        <v>24000</v>
      </c>
      <c r="H36" s="46" t="s">
        <v>151</v>
      </c>
    </row>
    <row r="37" spans="1:8" ht="39" x14ac:dyDescent="0.45">
      <c r="A37" s="47">
        <v>46240</v>
      </c>
      <c r="B37" s="48" t="s">
        <v>329</v>
      </c>
      <c r="C37" s="14" t="s">
        <v>330</v>
      </c>
      <c r="D37" s="52" t="s">
        <v>163</v>
      </c>
      <c r="E37" s="49">
        <v>289.75</v>
      </c>
      <c r="F37" s="1">
        <v>-80</v>
      </c>
      <c r="G37" s="50">
        <f>Table83[[#This Row],[سعر المتر]]*Table83[[#This Row],[الكمية]]</f>
        <v>-23180</v>
      </c>
      <c r="H37" s="51" t="s">
        <v>151</v>
      </c>
    </row>
    <row r="38" spans="1:8" ht="39" x14ac:dyDescent="0.45">
      <c r="A38" s="47">
        <v>46240</v>
      </c>
      <c r="B38" s="48" t="s">
        <v>331</v>
      </c>
      <c r="C38" s="14" t="s">
        <v>330</v>
      </c>
      <c r="D38" s="52" t="s">
        <v>163</v>
      </c>
      <c r="E38" s="49">
        <v>5.75</v>
      </c>
      <c r="F38" s="1">
        <v>-80</v>
      </c>
      <c r="G38" s="50">
        <f>Table83[[#This Row],[سعر المتر]]*Table83[[#This Row],[الكمية]]</f>
        <v>-460</v>
      </c>
      <c r="H38" s="51" t="s">
        <v>151</v>
      </c>
    </row>
    <row r="39" spans="1:8" x14ac:dyDescent="0.45">
      <c r="A39" s="43">
        <v>46259</v>
      </c>
      <c r="B39" s="44" t="s">
        <v>152</v>
      </c>
      <c r="C39" s="44" t="s">
        <v>152</v>
      </c>
      <c r="D39" s="44" t="s">
        <v>152</v>
      </c>
      <c r="E39" s="44"/>
      <c r="F39" s="44"/>
      <c r="G39" s="45">
        <v>1424.5</v>
      </c>
      <c r="H39" s="46" t="s">
        <v>151</v>
      </c>
    </row>
    <row r="40" spans="1:8" ht="39" x14ac:dyDescent="0.45">
      <c r="A40" s="47">
        <v>46259</v>
      </c>
      <c r="B40" s="48" t="s">
        <v>335</v>
      </c>
      <c r="C40" s="48" t="s">
        <v>334</v>
      </c>
      <c r="D40" s="52" t="s">
        <v>163</v>
      </c>
      <c r="E40" s="49">
        <v>289.75</v>
      </c>
      <c r="F40" s="49">
        <v>-8</v>
      </c>
      <c r="G40" s="50">
        <f>Table83[[#This Row],[سعر المتر]]*Table83[[#This Row],[الكمية]]</f>
        <v>-2318</v>
      </c>
      <c r="H40" s="51" t="s">
        <v>151</v>
      </c>
    </row>
    <row r="41" spans="1:8" ht="58.5" x14ac:dyDescent="0.45">
      <c r="A41" s="47">
        <v>46259</v>
      </c>
      <c r="B41" s="48" t="s">
        <v>336</v>
      </c>
      <c r="C41" s="48" t="s">
        <v>334</v>
      </c>
      <c r="D41" s="52" t="s">
        <v>163</v>
      </c>
      <c r="E41" s="49">
        <v>5.75</v>
      </c>
      <c r="F41" s="49">
        <v>-8</v>
      </c>
      <c r="G41" s="50">
        <f>Table83[[#This Row],[سعر المتر]]*Table83[[#This Row],[الكمية]]</f>
        <v>-46</v>
      </c>
      <c r="H41" s="51" t="s">
        <v>151</v>
      </c>
    </row>
    <row r="42" spans="1:8" ht="58.5" x14ac:dyDescent="0.45">
      <c r="A42" s="47">
        <v>46263</v>
      </c>
      <c r="B42" s="48" t="s">
        <v>343</v>
      </c>
      <c r="C42" s="48" t="s">
        <v>345</v>
      </c>
      <c r="D42" s="52" t="s">
        <v>163</v>
      </c>
      <c r="E42" s="49">
        <v>289.75</v>
      </c>
      <c r="F42" s="49">
        <v>-6</v>
      </c>
      <c r="G42" s="50">
        <f>Table83[[#This Row],[سعر المتر]]*Table83[[#This Row],[الكمية]]</f>
        <v>-1738.5</v>
      </c>
      <c r="H42" s="51" t="s">
        <v>151</v>
      </c>
    </row>
    <row r="43" spans="1:8" ht="58.5" x14ac:dyDescent="0.45">
      <c r="A43" s="47">
        <v>46263</v>
      </c>
      <c r="B43" s="48" t="s">
        <v>344</v>
      </c>
      <c r="C43" s="48" t="s">
        <v>345</v>
      </c>
      <c r="D43" s="52" t="s">
        <v>163</v>
      </c>
      <c r="E43" s="49">
        <v>5.75</v>
      </c>
      <c r="F43" s="49">
        <v>-6</v>
      </c>
      <c r="G43" s="50">
        <f>Table83[[#This Row],[سعر المتر]]*Table83[[#This Row],[الكمية]]</f>
        <v>-34.5</v>
      </c>
      <c r="H43" s="51" t="s">
        <v>151</v>
      </c>
    </row>
    <row r="44" spans="1:8" x14ac:dyDescent="0.45">
      <c r="A44" s="43">
        <v>46264</v>
      </c>
      <c r="B44" s="44" t="s">
        <v>152</v>
      </c>
      <c r="C44" s="44" t="s">
        <v>152</v>
      </c>
      <c r="D44" s="44" t="s">
        <v>152</v>
      </c>
      <c r="E44" s="44"/>
      <c r="F44" s="44"/>
      <c r="G44" s="45">
        <v>1773</v>
      </c>
      <c r="H44" s="46" t="s">
        <v>151</v>
      </c>
    </row>
    <row r="45" spans="1:8" ht="39" x14ac:dyDescent="0.45">
      <c r="A45" s="47">
        <v>46299</v>
      </c>
      <c r="B45" s="48" t="s">
        <v>354</v>
      </c>
      <c r="C45" s="48" t="s">
        <v>345</v>
      </c>
      <c r="D45" s="52" t="s">
        <v>163</v>
      </c>
      <c r="E45" s="49">
        <v>289.75</v>
      </c>
      <c r="F45" s="8">
        <v>-6</v>
      </c>
      <c r="G45" s="50">
        <f>Table83[[#This Row],[سعر المتر]]*Table83[[#This Row],[الكمية]]</f>
        <v>-1738.5</v>
      </c>
      <c r="H45" s="51" t="s">
        <v>151</v>
      </c>
    </row>
    <row r="46" spans="1:8" x14ac:dyDescent="0.45">
      <c r="A46" s="43">
        <v>46299</v>
      </c>
      <c r="B46" s="44" t="s">
        <v>152</v>
      </c>
      <c r="C46" s="44" t="s">
        <v>152</v>
      </c>
      <c r="D46" s="44" t="s">
        <v>152</v>
      </c>
      <c r="E46" s="44"/>
      <c r="F46" s="44"/>
      <c r="G46" s="45">
        <v>1738.5</v>
      </c>
      <c r="H46" s="46" t="s">
        <v>151</v>
      </c>
    </row>
    <row r="47" spans="1:8" x14ac:dyDescent="0.45">
      <c r="A47" s="43">
        <v>46312</v>
      </c>
      <c r="B47" s="44" t="s">
        <v>152</v>
      </c>
      <c r="C47" s="44" t="s">
        <v>152</v>
      </c>
      <c r="D47" s="44" t="s">
        <v>152</v>
      </c>
      <c r="E47" s="44"/>
      <c r="F47" s="44"/>
      <c r="G47" s="45">
        <v>11590</v>
      </c>
      <c r="H47" s="46" t="s">
        <v>151</v>
      </c>
    </row>
    <row r="48" spans="1:8" ht="39" x14ac:dyDescent="0.45">
      <c r="A48" s="47">
        <v>46319</v>
      </c>
      <c r="B48" s="48" t="s">
        <v>368</v>
      </c>
      <c r="C48" s="48" t="s">
        <v>369</v>
      </c>
      <c r="D48" s="52" t="s">
        <v>163</v>
      </c>
      <c r="E48" s="49">
        <v>289.75</v>
      </c>
      <c r="F48" s="8">
        <v>-42</v>
      </c>
      <c r="G48" s="50">
        <f>Table83[[#This Row],[سعر المتر]]*Table83[[#This Row],[الكمية]]</f>
        <v>-12169.5</v>
      </c>
      <c r="H48" s="51" t="s">
        <v>151</v>
      </c>
    </row>
    <row r="49" spans="1:13" x14ac:dyDescent="0.45">
      <c r="A49" s="43">
        <v>46321</v>
      </c>
      <c r="B49" s="44" t="s">
        <v>152</v>
      </c>
      <c r="C49" s="44" t="s">
        <v>152</v>
      </c>
      <c r="D49" s="44" t="s">
        <v>152</v>
      </c>
      <c r="E49" s="44"/>
      <c r="F49" s="44"/>
      <c r="G49" s="45">
        <v>579.5</v>
      </c>
      <c r="H49" s="46" t="s">
        <v>151</v>
      </c>
    </row>
    <row r="50" spans="1:13" x14ac:dyDescent="0.45">
      <c r="A50" s="15"/>
      <c r="B50" s="48"/>
      <c r="C50" s="77"/>
      <c r="D50" s="8"/>
      <c r="E50" s="33"/>
      <c r="F50" s="8"/>
      <c r="G50" s="50">
        <f>Table83[[#This Row],[سعر المتر]]*Table83[[#This Row],[الكمية]]</f>
        <v>0</v>
      </c>
      <c r="H50" s="16"/>
    </row>
    <row r="51" spans="1:13" x14ac:dyDescent="0.45">
      <c r="A51" s="15"/>
      <c r="B51" s="48"/>
      <c r="C51" s="77"/>
      <c r="D51" s="8"/>
      <c r="E51" s="33"/>
      <c r="F51" s="8"/>
      <c r="G51" s="50">
        <f>Table83[[#This Row],[سعر المتر]]*Table83[[#This Row],[الكمية]]</f>
        <v>0</v>
      </c>
      <c r="H51" s="16"/>
    </row>
    <row r="52" spans="1:13" x14ac:dyDescent="0.45">
      <c r="A52" s="31"/>
      <c r="B52" s="32"/>
      <c r="C52" s="32"/>
      <c r="D52" s="33"/>
      <c r="E52" s="33"/>
      <c r="F52" s="33"/>
      <c r="G52" s="42">
        <f>Table83[[#This Row],[سعر المتر]]*Table83[[#This Row],[الكمية]]</f>
        <v>0</v>
      </c>
      <c r="H52" s="35"/>
    </row>
    <row r="53" spans="1:13" x14ac:dyDescent="0.45">
      <c r="J53" s="88"/>
      <c r="K53" s="88"/>
      <c r="L53" s="88"/>
    </row>
    <row r="54" spans="1:13" x14ac:dyDescent="0.45">
      <c r="F54" s="9" t="s">
        <v>148</v>
      </c>
      <c r="G54" s="41">
        <f>SUM(G6:G52)</f>
        <v>0</v>
      </c>
    </row>
    <row r="55" spans="1:13" x14ac:dyDescent="0.45">
      <c r="M55" s="54"/>
    </row>
    <row r="56" spans="1:13" x14ac:dyDescent="0.45">
      <c r="F56" s="9" t="s">
        <v>198</v>
      </c>
      <c r="G56" s="41">
        <f>G54/J64</f>
        <v>0</v>
      </c>
    </row>
    <row r="58" spans="1:13" x14ac:dyDescent="0.45">
      <c r="J58" s="88"/>
      <c r="K58" s="88"/>
      <c r="L58" s="88"/>
    </row>
    <row r="62" spans="1:13" x14ac:dyDescent="0.45">
      <c r="J62" s="89" t="s">
        <v>284</v>
      </c>
      <c r="K62" s="89"/>
      <c r="L62" s="89"/>
    </row>
    <row r="63" spans="1:13" x14ac:dyDescent="0.45">
      <c r="J63" s="1" t="s">
        <v>164</v>
      </c>
      <c r="K63" s="1" t="s">
        <v>150</v>
      </c>
      <c r="L63" s="1" t="s">
        <v>6</v>
      </c>
    </row>
    <row r="64" spans="1:13" x14ac:dyDescent="0.45">
      <c r="J64" s="1">
        <v>289.75</v>
      </c>
      <c r="K64" s="1">
        <v>42</v>
      </c>
      <c r="L64" s="72">
        <f>J64*K64</f>
        <v>12169.5</v>
      </c>
    </row>
    <row r="67" spans="10:14" x14ac:dyDescent="0.45">
      <c r="J67" s="90" t="s">
        <v>285</v>
      </c>
      <c r="K67" s="90"/>
      <c r="L67" s="90"/>
    </row>
    <row r="68" spans="10:14" x14ac:dyDescent="0.45">
      <c r="J68" s="1" t="s">
        <v>164</v>
      </c>
      <c r="K68" s="1" t="s">
        <v>150</v>
      </c>
      <c r="L68" s="1" t="s">
        <v>6</v>
      </c>
    </row>
    <row r="69" spans="10:14" x14ac:dyDescent="0.45">
      <c r="J69" s="1">
        <v>5.75</v>
      </c>
      <c r="K69" s="1">
        <v>6</v>
      </c>
      <c r="L69" s="1">
        <f>J69*K69</f>
        <v>34.5</v>
      </c>
    </row>
    <row r="71" spans="10:14" ht="20" thickBot="1" x14ac:dyDescent="0.5"/>
    <row r="72" spans="10:14" ht="20.5" thickTop="1" thickBot="1" x14ac:dyDescent="0.5">
      <c r="M72" s="75" t="s">
        <v>333</v>
      </c>
      <c r="N72" s="76">
        <f>L64+L69</f>
        <v>12204</v>
      </c>
    </row>
    <row r="73" spans="10:14" ht="20" thickTop="1" x14ac:dyDescent="0.45"/>
    <row r="80" spans="10:14" x14ac:dyDescent="0.45">
      <c r="N80" s="74"/>
    </row>
  </sheetData>
  <mergeCells count="4">
    <mergeCell ref="J53:L53"/>
    <mergeCell ref="J58:L58"/>
    <mergeCell ref="J62:L62"/>
    <mergeCell ref="J67:L67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B656-BAD9-41F3-BF3B-171A85BDC607}">
  <dimension ref="A3:L28"/>
  <sheetViews>
    <sheetView rightToLeft="1" topLeftCell="A3" zoomScaleNormal="100" workbookViewId="0">
      <selection activeCell="C12" sqref="C12"/>
    </sheetView>
  </sheetViews>
  <sheetFormatPr defaultColWidth="22.90625" defaultRowHeight="19.5" x14ac:dyDescent="0.45"/>
  <cols>
    <col min="1" max="1" width="21.1796875" style="3" bestFit="1" customWidth="1"/>
    <col min="2" max="2" width="19" style="2" bestFit="1" customWidth="1"/>
    <col min="3" max="3" width="16.453125" style="2" bestFit="1" customWidth="1"/>
    <col min="4" max="4" width="15.1796875" style="2" bestFit="1" customWidth="1"/>
    <col min="5" max="5" width="16.6328125" style="2" bestFit="1" customWidth="1"/>
    <col min="6" max="6" width="24.453125" style="2" bestFit="1" customWidth="1"/>
    <col min="7" max="7" width="17.453125" style="2" bestFit="1" customWidth="1"/>
    <col min="8" max="8" width="15.54296875" style="2" bestFit="1" customWidth="1"/>
    <col min="9" max="16384" width="22.90625" style="2"/>
  </cols>
  <sheetData>
    <row r="3" spans="1:9" ht="39.5" x14ac:dyDescent="0.45">
      <c r="A3" s="12" t="s">
        <v>208</v>
      </c>
      <c r="B3" s="13"/>
      <c r="C3" s="13"/>
      <c r="D3" s="13"/>
      <c r="E3" s="13"/>
      <c r="F3" s="13"/>
      <c r="G3" s="13"/>
      <c r="H3" s="13"/>
    </row>
    <row r="5" spans="1:9" s="7" customFormat="1" ht="39" x14ac:dyDescent="0.35">
      <c r="A5" s="17" t="s">
        <v>1</v>
      </c>
      <c r="B5" s="18" t="s">
        <v>160</v>
      </c>
      <c r="C5" s="18" t="s">
        <v>159</v>
      </c>
      <c r="D5" s="19" t="s">
        <v>4</v>
      </c>
      <c r="E5" s="19" t="s">
        <v>6</v>
      </c>
      <c r="F5" s="20" t="s">
        <v>7</v>
      </c>
    </row>
    <row r="6" spans="1:9" x14ac:dyDescent="0.45">
      <c r="A6" s="43">
        <v>46109</v>
      </c>
      <c r="B6" s="44" t="s">
        <v>152</v>
      </c>
      <c r="C6" s="44" t="s">
        <v>152</v>
      </c>
      <c r="D6" s="44" t="s">
        <v>152</v>
      </c>
      <c r="E6" s="44">
        <v>-315</v>
      </c>
      <c r="F6" s="46" t="s">
        <v>151</v>
      </c>
      <c r="H6" s="2" t="s">
        <v>163</v>
      </c>
      <c r="I6" s="52"/>
    </row>
    <row r="7" spans="1:9" x14ac:dyDescent="0.45">
      <c r="A7" s="43">
        <v>46161</v>
      </c>
      <c r="B7" s="44" t="s">
        <v>152</v>
      </c>
      <c r="C7" s="44" t="s">
        <v>152</v>
      </c>
      <c r="D7" s="44" t="s">
        <v>152</v>
      </c>
      <c r="E7" s="44">
        <v>-43655</v>
      </c>
      <c r="F7" s="46" t="s">
        <v>151</v>
      </c>
      <c r="H7" s="2" t="s">
        <v>162</v>
      </c>
      <c r="I7" s="53"/>
    </row>
    <row r="8" spans="1:9" x14ac:dyDescent="0.45">
      <c r="A8" s="47">
        <v>46161</v>
      </c>
      <c r="B8" s="49" t="s">
        <v>163</v>
      </c>
      <c r="C8" s="49" t="s">
        <v>163</v>
      </c>
      <c r="D8" s="49" t="s">
        <v>163</v>
      </c>
      <c r="E8" s="49">
        <v>43970</v>
      </c>
      <c r="F8" s="51" t="s">
        <v>151</v>
      </c>
    </row>
    <row r="9" spans="1:9" x14ac:dyDescent="0.45">
      <c r="A9" s="61"/>
      <c r="B9" s="1"/>
      <c r="C9" s="1"/>
      <c r="D9" s="1"/>
      <c r="E9" s="1"/>
      <c r="F9" s="62"/>
      <c r="H9" s="2" t="s">
        <v>163</v>
      </c>
      <c r="I9" s="52"/>
    </row>
    <row r="10" spans="1:9" x14ac:dyDescent="0.45">
      <c r="A10" s="61"/>
      <c r="B10" s="14"/>
      <c r="C10" s="14"/>
      <c r="E10" s="1"/>
      <c r="F10" s="62"/>
    </row>
    <row r="11" spans="1:9" x14ac:dyDescent="0.45">
      <c r="A11" s="61"/>
      <c r="B11" s="1"/>
      <c r="C11" s="1"/>
      <c r="D11" s="1"/>
      <c r="E11" s="1"/>
      <c r="F11" s="62"/>
    </row>
    <row r="12" spans="1:9" x14ac:dyDescent="0.45">
      <c r="A12" s="61"/>
      <c r="B12" s="14"/>
      <c r="C12" s="14"/>
      <c r="E12" s="1"/>
      <c r="F12" s="62"/>
    </row>
    <row r="13" spans="1:9" x14ac:dyDescent="0.45">
      <c r="A13" s="61"/>
      <c r="B13" s="1"/>
      <c r="C13" s="1"/>
      <c r="D13" s="1"/>
      <c r="E13" s="1"/>
      <c r="F13" s="62"/>
    </row>
    <row r="14" spans="1:9" x14ac:dyDescent="0.45">
      <c r="A14" s="61"/>
      <c r="B14" s="1"/>
      <c r="C14" s="1"/>
      <c r="D14" s="1"/>
      <c r="E14" s="1"/>
      <c r="F14" s="62"/>
    </row>
    <row r="15" spans="1:9" x14ac:dyDescent="0.45">
      <c r="A15" s="61"/>
      <c r="B15" s="14"/>
      <c r="C15" s="14"/>
      <c r="E15" s="1"/>
      <c r="F15" s="62"/>
    </row>
    <row r="16" spans="1:9" x14ac:dyDescent="0.45">
      <c r="A16" s="61"/>
      <c r="B16" s="1"/>
      <c r="C16" s="1"/>
      <c r="D16" s="1"/>
      <c r="E16" s="1"/>
      <c r="F16" s="62"/>
    </row>
    <row r="17" spans="1:12" x14ac:dyDescent="0.45">
      <c r="A17" s="61"/>
      <c r="B17" s="14"/>
      <c r="C17" s="14"/>
      <c r="E17" s="1"/>
      <c r="F17" s="62"/>
    </row>
    <row r="18" spans="1:12" x14ac:dyDescent="0.45">
      <c r="A18" s="15"/>
      <c r="B18" s="1"/>
      <c r="C18" s="32"/>
      <c r="D18" s="8"/>
      <c r="E18" s="33"/>
      <c r="F18" s="16"/>
    </row>
    <row r="19" spans="1:12" x14ac:dyDescent="0.45">
      <c r="A19" s="31"/>
      <c r="B19" s="32"/>
      <c r="C19" s="32"/>
      <c r="D19" s="33"/>
      <c r="E19" s="33"/>
      <c r="F19" s="35"/>
    </row>
    <row r="20" spans="1:12" x14ac:dyDescent="0.45">
      <c r="J20" s="92" t="s">
        <v>165</v>
      </c>
      <c r="K20" s="92"/>
      <c r="L20" s="92"/>
    </row>
    <row r="21" spans="1:12" x14ac:dyDescent="0.45">
      <c r="F21" s="9" t="s">
        <v>148</v>
      </c>
      <c r="G21" s="41">
        <f>SUM(Table834[المبلغ])</f>
        <v>0</v>
      </c>
      <c r="J21" s="1" t="s">
        <v>164</v>
      </c>
      <c r="K21" s="1" t="s">
        <v>150</v>
      </c>
      <c r="L21" s="1" t="s">
        <v>6</v>
      </c>
    </row>
    <row r="22" spans="1:12" x14ac:dyDescent="0.45">
      <c r="J22" s="1">
        <v>289.75</v>
      </c>
      <c r="K22" s="1">
        <v>28</v>
      </c>
      <c r="L22" s="1">
        <f>J22*K22</f>
        <v>8113</v>
      </c>
    </row>
    <row r="25" spans="1:12" x14ac:dyDescent="0.45">
      <c r="K25" s="2">
        <v>11</v>
      </c>
    </row>
    <row r="26" spans="1:12" x14ac:dyDescent="0.45">
      <c r="J26" s="54"/>
      <c r="K26" s="2">
        <v>18</v>
      </c>
    </row>
    <row r="28" spans="1:12" x14ac:dyDescent="0.45">
      <c r="K28" s="2">
        <f>SUM(K25:K27)</f>
        <v>29</v>
      </c>
    </row>
  </sheetData>
  <mergeCells count="1">
    <mergeCell ref="J20:L20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0896-0EE6-4EC7-A4AB-4825B771304C}">
  <sheetPr codeName="Sheet5"/>
  <dimension ref="A3:F10"/>
  <sheetViews>
    <sheetView rightToLeft="1" topLeftCell="A3" zoomScale="70" zoomScaleNormal="70" workbookViewId="0">
      <selection activeCell="D23" sqref="D23"/>
    </sheetView>
  </sheetViews>
  <sheetFormatPr defaultColWidth="22.90625" defaultRowHeight="19.5" x14ac:dyDescent="0.45"/>
  <cols>
    <col min="1" max="1" width="24.1796875" style="3" bestFit="1" customWidth="1"/>
    <col min="2" max="2" width="40.08984375" style="2" bestFit="1" customWidth="1"/>
    <col min="3" max="3" width="15.36328125" style="2" bestFit="1" customWidth="1"/>
    <col min="4" max="4" width="29.81640625" style="2" bestFit="1" customWidth="1"/>
    <col min="5" max="5" width="19.08984375" style="2" bestFit="1" customWidth="1"/>
    <col min="6" max="6" width="15.81640625" style="2" bestFit="1" customWidth="1"/>
    <col min="7" max="16384" width="22.90625" style="2"/>
  </cols>
  <sheetData>
    <row r="3" spans="1:6" ht="39.5" x14ac:dyDescent="0.45">
      <c r="A3" s="12" t="s">
        <v>39</v>
      </c>
      <c r="B3" s="13"/>
      <c r="C3" s="13"/>
      <c r="D3" s="13"/>
      <c r="E3" s="13"/>
      <c r="F3" s="13"/>
    </row>
    <row r="5" spans="1:6" s="7" customFormat="1" ht="39" x14ac:dyDescent="0.35">
      <c r="A5" s="17" t="s">
        <v>1</v>
      </c>
      <c r="B5" s="18" t="s">
        <v>2</v>
      </c>
      <c r="C5" s="19" t="s">
        <v>4</v>
      </c>
      <c r="D5" s="19" t="s">
        <v>5</v>
      </c>
      <c r="E5" s="18" t="s">
        <v>6</v>
      </c>
      <c r="F5" s="20" t="s">
        <v>7</v>
      </c>
    </row>
    <row r="6" spans="1:6" x14ac:dyDescent="0.45">
      <c r="A6" s="15">
        <v>46019</v>
      </c>
      <c r="B6" s="1" t="s">
        <v>33</v>
      </c>
      <c r="C6" s="8" t="s">
        <v>9</v>
      </c>
      <c r="D6" s="8" t="s">
        <v>40</v>
      </c>
      <c r="E6" s="10">
        <v>10000</v>
      </c>
      <c r="F6" s="16"/>
    </row>
    <row r="7" spans="1:6" x14ac:dyDescent="0.45">
      <c r="A7" s="31">
        <v>46023</v>
      </c>
      <c r="B7" s="32" t="s">
        <v>33</v>
      </c>
      <c r="C7" s="33" t="s">
        <v>9</v>
      </c>
      <c r="D7" s="33" t="s">
        <v>40</v>
      </c>
      <c r="E7" s="34">
        <v>20600</v>
      </c>
      <c r="F7" s="35"/>
    </row>
    <row r="8" spans="1:6" x14ac:dyDescent="0.45">
      <c r="A8" s="31">
        <v>46023</v>
      </c>
      <c r="B8" s="32" t="s">
        <v>33</v>
      </c>
      <c r="C8" s="33" t="s">
        <v>9</v>
      </c>
      <c r="D8" s="33" t="s">
        <v>40</v>
      </c>
      <c r="E8" s="34">
        <v>-30600</v>
      </c>
      <c r="F8" s="35"/>
    </row>
    <row r="10" spans="1:6" x14ac:dyDescent="0.45">
      <c r="D10" s="9" t="s">
        <v>41</v>
      </c>
      <c r="E10" s="9">
        <f>SUM(E6:E8)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D21F-2AAF-4B66-B245-846FC5CB913E}">
  <sheetPr codeName="Sheet4"/>
  <dimension ref="A3:C12"/>
  <sheetViews>
    <sheetView rightToLeft="1" topLeftCell="A3" zoomScale="70" zoomScaleNormal="70" workbookViewId="0">
      <selection activeCell="E14" sqref="E14"/>
    </sheetView>
  </sheetViews>
  <sheetFormatPr defaultColWidth="22.90625" defaultRowHeight="19.5" x14ac:dyDescent="0.45"/>
  <cols>
    <col min="1" max="1" width="22.90625" style="3" bestFit="1" customWidth="1"/>
    <col min="2" max="2" width="41" style="2" bestFit="1" customWidth="1"/>
    <col min="3" max="3" width="24.36328125" style="2" bestFit="1" customWidth="1"/>
    <col min="4" max="16384" width="22.90625" style="2"/>
  </cols>
  <sheetData>
    <row r="3" spans="1:3" ht="39.5" x14ac:dyDescent="0.45">
      <c r="A3" s="12" t="s">
        <v>37</v>
      </c>
      <c r="B3" s="13"/>
      <c r="C3" s="13"/>
    </row>
    <row r="5" spans="1:3" s="7" customFormat="1" x14ac:dyDescent="0.35">
      <c r="A5" s="5" t="s">
        <v>1</v>
      </c>
      <c r="B5" s="6" t="s">
        <v>2</v>
      </c>
      <c r="C5" s="6" t="s">
        <v>7</v>
      </c>
    </row>
    <row r="6" spans="1:3" ht="39" x14ac:dyDescent="0.45">
      <c r="A6" s="11">
        <v>46018</v>
      </c>
      <c r="B6" s="14" t="s">
        <v>38</v>
      </c>
      <c r="C6" s="14"/>
    </row>
    <row r="7" spans="1:3" x14ac:dyDescent="0.45">
      <c r="A7" s="11"/>
      <c r="B7" s="14"/>
      <c r="C7" s="14"/>
    </row>
    <row r="8" spans="1:3" x14ac:dyDescent="0.45">
      <c r="A8" s="11"/>
      <c r="B8" s="14"/>
      <c r="C8" s="14"/>
    </row>
    <row r="9" spans="1:3" x14ac:dyDescent="0.45">
      <c r="A9" s="11"/>
      <c r="B9" s="14"/>
      <c r="C9" s="14"/>
    </row>
    <row r="10" spans="1:3" x14ac:dyDescent="0.45">
      <c r="A10" s="11"/>
      <c r="B10" s="14"/>
      <c r="C10" s="14"/>
    </row>
    <row r="11" spans="1:3" x14ac:dyDescent="0.45">
      <c r="A11" s="11"/>
      <c r="B11" s="14"/>
      <c r="C11" s="14"/>
    </row>
    <row r="12" spans="1:3" x14ac:dyDescent="0.45">
      <c r="A12" s="4"/>
      <c r="B12" s="1"/>
      <c r="C12" s="1"/>
    </row>
  </sheetData>
  <autoFilter ref="A5:C5" xr:uid="{90AB8350-FFA2-4A71-AE3B-B49DED033857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0B56-B3D8-4E6A-AD96-8B588542D1E8}">
  <dimension ref="A3:L44"/>
  <sheetViews>
    <sheetView rightToLeft="1" topLeftCell="A28" zoomScaleNormal="100" workbookViewId="0">
      <selection activeCell="F34" sqref="F34"/>
    </sheetView>
  </sheetViews>
  <sheetFormatPr defaultColWidth="22.90625" defaultRowHeight="19.5" x14ac:dyDescent="0.45"/>
  <cols>
    <col min="1" max="1" width="21.1796875" style="3" bestFit="1" customWidth="1"/>
    <col min="2" max="2" width="19" style="2" bestFit="1" customWidth="1"/>
    <col min="3" max="3" width="16.453125" style="2" bestFit="1" customWidth="1"/>
    <col min="4" max="4" width="15.1796875" style="2" bestFit="1" customWidth="1"/>
    <col min="5" max="5" width="19" style="2" bestFit="1" customWidth="1"/>
    <col min="6" max="6" width="24.453125" style="2" bestFit="1" customWidth="1"/>
    <col min="7" max="7" width="17.453125" style="2" bestFit="1" customWidth="1"/>
    <col min="8" max="8" width="15.54296875" style="2" bestFit="1" customWidth="1"/>
    <col min="9" max="16384" width="22.90625" style="2"/>
  </cols>
  <sheetData>
    <row r="3" spans="1:9" ht="39.5" x14ac:dyDescent="0.45">
      <c r="A3" s="12" t="s">
        <v>257</v>
      </c>
      <c r="B3" s="13"/>
      <c r="C3" s="13"/>
      <c r="D3" s="13"/>
      <c r="E3" s="13"/>
      <c r="F3" s="13"/>
      <c r="G3" s="13"/>
      <c r="H3" s="13"/>
    </row>
    <row r="5" spans="1:9" s="7" customFormat="1" ht="39" x14ac:dyDescent="0.35">
      <c r="A5" s="17" t="s">
        <v>1</v>
      </c>
      <c r="B5" s="18" t="s">
        <v>160</v>
      </c>
      <c r="C5" s="18" t="s">
        <v>159</v>
      </c>
      <c r="D5" s="19" t="s">
        <v>4</v>
      </c>
      <c r="E5" s="19" t="s">
        <v>6</v>
      </c>
      <c r="F5" s="20" t="s">
        <v>7</v>
      </c>
    </row>
    <row r="6" spans="1:9" x14ac:dyDescent="0.45">
      <c r="A6" s="43">
        <v>46109</v>
      </c>
      <c r="B6" s="44" t="s">
        <v>152</v>
      </c>
      <c r="C6" s="44" t="s">
        <v>152</v>
      </c>
      <c r="D6" s="44" t="s">
        <v>152</v>
      </c>
      <c r="E6" s="44">
        <v>315</v>
      </c>
      <c r="F6" s="46" t="s">
        <v>151</v>
      </c>
      <c r="H6" s="2" t="s">
        <v>163</v>
      </c>
      <c r="I6" s="52"/>
    </row>
    <row r="7" spans="1:9" x14ac:dyDescent="0.45">
      <c r="A7" s="61"/>
      <c r="B7" s="14"/>
      <c r="C7" s="14"/>
      <c r="E7" s="1"/>
      <c r="F7" s="62"/>
      <c r="H7" s="2" t="s">
        <v>162</v>
      </c>
      <c r="I7" s="53"/>
    </row>
    <row r="8" spans="1:9" x14ac:dyDescent="0.45">
      <c r="A8" s="61"/>
      <c r="B8" s="14"/>
      <c r="C8" s="14"/>
      <c r="E8" s="1"/>
      <c r="F8" s="62"/>
    </row>
    <row r="9" spans="1:9" x14ac:dyDescent="0.45">
      <c r="A9" s="61"/>
      <c r="B9" s="1"/>
      <c r="C9" s="1"/>
      <c r="D9" s="1"/>
      <c r="E9" s="1"/>
      <c r="F9" s="62"/>
      <c r="H9" s="2" t="s">
        <v>163</v>
      </c>
      <c r="I9" s="52"/>
    </row>
    <row r="10" spans="1:9" x14ac:dyDescent="0.45">
      <c r="A10" s="61"/>
      <c r="B10" s="14"/>
      <c r="C10" s="14"/>
      <c r="E10" s="1"/>
      <c r="F10" s="62"/>
    </row>
    <row r="11" spans="1:9" x14ac:dyDescent="0.45">
      <c r="A11" s="61"/>
      <c r="B11" s="1"/>
      <c r="C11" s="1"/>
      <c r="D11" s="1"/>
      <c r="E11" s="1"/>
      <c r="F11" s="62"/>
    </row>
    <row r="12" spans="1:9" x14ac:dyDescent="0.45">
      <c r="A12" s="61"/>
      <c r="B12" s="14"/>
      <c r="C12" s="14"/>
      <c r="E12" s="1"/>
      <c r="F12" s="62"/>
    </row>
    <row r="13" spans="1:9" x14ac:dyDescent="0.45">
      <c r="A13" s="61"/>
      <c r="B13" s="1"/>
      <c r="C13" s="1"/>
      <c r="D13" s="1"/>
      <c r="E13" s="1"/>
      <c r="F13" s="62"/>
    </row>
    <row r="14" spans="1:9" x14ac:dyDescent="0.45">
      <c r="A14" s="61"/>
      <c r="B14" s="1"/>
      <c r="C14" s="1"/>
      <c r="D14" s="1"/>
      <c r="E14" s="1"/>
      <c r="F14" s="62"/>
    </row>
    <row r="15" spans="1:9" x14ac:dyDescent="0.45">
      <c r="A15" s="61"/>
      <c r="B15" s="14"/>
      <c r="C15" s="14"/>
      <c r="E15" s="1"/>
      <c r="F15" s="62"/>
    </row>
    <row r="16" spans="1:9" x14ac:dyDescent="0.45">
      <c r="A16" s="61"/>
      <c r="B16" s="1"/>
      <c r="C16" s="1"/>
      <c r="D16" s="1"/>
      <c r="E16" s="1"/>
      <c r="F16" s="62"/>
    </row>
    <row r="17" spans="1:12" x14ac:dyDescent="0.45">
      <c r="A17" s="61"/>
      <c r="B17" s="14"/>
      <c r="C17" s="14"/>
      <c r="E17" s="1"/>
      <c r="F17" s="62"/>
    </row>
    <row r="18" spans="1:12" x14ac:dyDescent="0.45">
      <c r="A18" s="15"/>
      <c r="B18" s="1"/>
      <c r="C18" s="32"/>
      <c r="D18" s="8"/>
      <c r="E18" s="33"/>
      <c r="F18" s="16"/>
    </row>
    <row r="19" spans="1:12" x14ac:dyDescent="0.45">
      <c r="A19" s="31"/>
      <c r="B19" s="32"/>
      <c r="C19" s="32"/>
      <c r="D19" s="33"/>
      <c r="E19" s="33"/>
      <c r="F19" s="35"/>
    </row>
    <row r="20" spans="1:12" x14ac:dyDescent="0.45">
      <c r="J20" s="92" t="s">
        <v>165</v>
      </c>
      <c r="K20" s="92"/>
      <c r="L20" s="92"/>
    </row>
    <row r="21" spans="1:12" x14ac:dyDescent="0.45">
      <c r="F21" s="9" t="s">
        <v>148</v>
      </c>
      <c r="G21" s="41">
        <f>SUM(Table8345[المبلغ])</f>
        <v>315</v>
      </c>
      <c r="J21" s="1" t="s">
        <v>164</v>
      </c>
      <c r="K21" s="1" t="s">
        <v>150</v>
      </c>
      <c r="L21" s="1" t="s">
        <v>6</v>
      </c>
    </row>
    <row r="22" spans="1:12" x14ac:dyDescent="0.45">
      <c r="J22" s="1">
        <v>289.75</v>
      </c>
      <c r="K22" s="1">
        <v>28</v>
      </c>
      <c r="L22" s="1">
        <f>J22*K22</f>
        <v>8113</v>
      </c>
    </row>
    <row r="25" spans="1:12" x14ac:dyDescent="0.45">
      <c r="K25" s="2">
        <v>11</v>
      </c>
    </row>
    <row r="27" spans="1:12" ht="39.5" x14ac:dyDescent="0.45">
      <c r="A27" s="12" t="s">
        <v>165</v>
      </c>
      <c r="B27" s="13"/>
      <c r="C27" s="13"/>
      <c r="D27" s="13"/>
      <c r="E27" s="13"/>
      <c r="F27" s="13"/>
      <c r="G27" s="13"/>
      <c r="H27" s="13"/>
    </row>
    <row r="29" spans="1:12" x14ac:dyDescent="0.45">
      <c r="J29" s="54"/>
      <c r="K29" s="2">
        <v>18</v>
      </c>
    </row>
    <row r="30" spans="1:12" ht="39" x14ac:dyDescent="0.45">
      <c r="A30" s="17" t="s">
        <v>2</v>
      </c>
      <c r="B30" s="18" t="s">
        <v>150</v>
      </c>
      <c r="C30" s="18" t="s">
        <v>259</v>
      </c>
      <c r="D30" s="19" t="s">
        <v>260</v>
      </c>
      <c r="E30" s="19" t="s">
        <v>261</v>
      </c>
      <c r="F30" s="20" t="s">
        <v>7</v>
      </c>
    </row>
    <row r="31" spans="1:12" x14ac:dyDescent="0.45">
      <c r="A31" s="61" t="s">
        <v>258</v>
      </c>
      <c r="B31" s="1">
        <v>300</v>
      </c>
      <c r="C31" s="1">
        <v>2.1</v>
      </c>
      <c r="D31" s="1">
        <f>Table83456[[#This Row],[الكمية]]*Table83456[[#This Row],[السعر - ريال]]</f>
        <v>630</v>
      </c>
      <c r="E31" s="1">
        <f>Table83456[[#This Row],[القيمة المضافة]]*1.15</f>
        <v>724.5</v>
      </c>
      <c r="F31" s="62"/>
      <c r="K31" s="2">
        <f>SUM(K25:K30)</f>
        <v>29</v>
      </c>
    </row>
    <row r="32" spans="1:12" x14ac:dyDescent="0.45">
      <c r="A32" s="61"/>
      <c r="B32" s="14"/>
      <c r="C32" s="14"/>
      <c r="E32" s="1"/>
      <c r="F32" s="62"/>
    </row>
    <row r="33" spans="1:6" x14ac:dyDescent="0.45">
      <c r="A33" s="61"/>
      <c r="B33" s="14"/>
      <c r="C33" s="14"/>
      <c r="E33" s="1"/>
      <c r="F33" s="62"/>
    </row>
    <row r="34" spans="1:6" x14ac:dyDescent="0.45">
      <c r="A34" s="61"/>
      <c r="B34" s="1"/>
      <c r="C34" s="1"/>
      <c r="D34" s="1"/>
      <c r="E34" s="1"/>
      <c r="F34" s="62"/>
    </row>
    <row r="35" spans="1:6" x14ac:dyDescent="0.45">
      <c r="A35" s="61"/>
      <c r="B35" s="14"/>
      <c r="C35" s="14"/>
      <c r="E35" s="1"/>
      <c r="F35" s="62"/>
    </row>
    <row r="36" spans="1:6" x14ac:dyDescent="0.45">
      <c r="A36" s="61"/>
      <c r="B36" s="1"/>
      <c r="C36" s="1"/>
      <c r="D36" s="1"/>
      <c r="E36" s="1"/>
      <c r="F36" s="62"/>
    </row>
    <row r="37" spans="1:6" x14ac:dyDescent="0.45">
      <c r="A37" s="61"/>
      <c r="B37" s="14"/>
      <c r="C37" s="14"/>
      <c r="E37" s="1"/>
      <c r="F37" s="62"/>
    </row>
    <row r="38" spans="1:6" x14ac:dyDescent="0.45">
      <c r="A38" s="61"/>
      <c r="B38" s="1"/>
      <c r="C38" s="1"/>
      <c r="D38" s="1"/>
      <c r="E38" s="1"/>
      <c r="F38" s="62"/>
    </row>
    <row r="39" spans="1:6" x14ac:dyDescent="0.45">
      <c r="A39" s="61"/>
      <c r="B39" s="1"/>
      <c r="C39" s="1"/>
      <c r="D39" s="1"/>
      <c r="E39" s="1"/>
      <c r="F39" s="62"/>
    </row>
    <row r="40" spans="1:6" x14ac:dyDescent="0.45">
      <c r="A40" s="61"/>
      <c r="B40" s="14"/>
      <c r="C40" s="14"/>
      <c r="E40" s="1"/>
      <c r="F40" s="62"/>
    </row>
    <row r="41" spans="1:6" x14ac:dyDescent="0.45">
      <c r="A41" s="61"/>
      <c r="B41" s="1"/>
      <c r="C41" s="1"/>
      <c r="D41" s="1"/>
      <c r="E41" s="1"/>
      <c r="F41" s="62"/>
    </row>
    <row r="42" spans="1:6" x14ac:dyDescent="0.45">
      <c r="A42" s="61"/>
      <c r="B42" s="14"/>
      <c r="C42" s="14"/>
      <c r="E42" s="1"/>
      <c r="F42" s="62"/>
    </row>
    <row r="43" spans="1:6" x14ac:dyDescent="0.45">
      <c r="A43" s="61"/>
      <c r="B43" s="1"/>
      <c r="C43" s="32"/>
      <c r="D43" s="1"/>
      <c r="E43" s="32"/>
      <c r="F43" s="62"/>
    </row>
    <row r="44" spans="1:6" x14ac:dyDescent="0.45">
      <c r="A44" s="69"/>
      <c r="B44" s="32"/>
      <c r="C44" s="32"/>
      <c r="D44" s="32"/>
      <c r="E44" s="32"/>
      <c r="F44" s="70"/>
    </row>
  </sheetData>
  <mergeCells count="1">
    <mergeCell ref="J20:L20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المصروفات</vt:lpstr>
      <vt:lpstr>خرسانة المرهون</vt:lpstr>
      <vt:lpstr>الراية</vt:lpstr>
      <vt:lpstr>رصيد عدنان المجاب</vt:lpstr>
      <vt:lpstr>زيارات المشرف - مشتاق</vt:lpstr>
      <vt:lpstr>طابوق سفكو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Hussain Almoghalliq</dc:creator>
  <cp:keywords/>
  <dc:description/>
  <cp:lastModifiedBy>Hussain Almoghalliq</cp:lastModifiedBy>
  <cp:revision/>
  <dcterms:created xsi:type="dcterms:W3CDTF">2025-12-23T08:21:59Z</dcterms:created>
  <dcterms:modified xsi:type="dcterms:W3CDTF">2026-10-27T08:42:03Z</dcterms:modified>
  <cp:category/>
  <cp:contentStatus/>
</cp:coreProperties>
</file>