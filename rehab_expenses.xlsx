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E33149FC-328B-4291-8295-D370493D1930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9" l="1"/>
  <c r="G34" i="9"/>
  <c r="G33" i="9"/>
  <c r="G32" i="9"/>
  <c r="L54" i="9"/>
  <c r="L49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66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7" i="9"/>
  <c r="G21" i="10"/>
  <c r="K28" i="10"/>
  <c r="L22" i="10"/>
  <c r="I5" i="7"/>
  <c r="H165" i="7" s="1"/>
  <c r="H167" i="7"/>
  <c r="E10" i="3"/>
  <c r="G39" i="9" l="1"/>
  <c r="G41" i="9" l="1"/>
</calcChain>
</file>

<file path=xl/sharedStrings.xml><?xml version="1.0" encoding="utf-8"?>
<sst xmlns="http://schemas.openxmlformats.org/spreadsheetml/2006/main" count="1664" uniqueCount="325">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</sst>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62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7" totalsRowShown="0" headerRowDxfId="50" headerRowBorderDxfId="49" tableBorderDxfId="48" totalsRowBorderDxfId="47">
  <autoFilter ref="A5:I3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71"/>
  <sheetViews>
    <sheetView rightToLeft="1" tabSelected="1" topLeftCell="A126" zoomScale="85" zoomScaleNormal="85" workbookViewId="0">
      <selection activeCell="B131" sqref="B131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x14ac:dyDescent="0.3">
      <c r="A134" s="69"/>
      <c r="B134" s="70"/>
      <c r="C134" s="73"/>
      <c r="D134" s="71"/>
      <c r="E134" s="71"/>
      <c r="F134" s="71"/>
      <c r="G134" s="57"/>
      <c r="H134" s="71"/>
      <c r="I134" s="72"/>
      <c r="J134" s="71"/>
      <c r="K134" s="57"/>
      <c r="L134" s="71"/>
      <c r="M134" s="57"/>
      <c r="N134" s="57"/>
      <c r="O134" s="57"/>
      <c r="P134" s="71"/>
    </row>
    <row r="135" spans="1:16" x14ac:dyDescent="0.3">
      <c r="A135" s="69"/>
      <c r="B135" s="70"/>
      <c r="C135" s="73"/>
      <c r="D135" s="71"/>
      <c r="E135" s="71"/>
      <c r="F135" s="71"/>
      <c r="G135" s="57"/>
      <c r="H135" s="71"/>
      <c r="I135" s="72"/>
      <c r="J135" s="71"/>
      <c r="K135" s="57"/>
      <c r="L135" s="71"/>
      <c r="M135" s="57"/>
      <c r="N135" s="57"/>
      <c r="O135" s="57"/>
      <c r="P135" s="71"/>
    </row>
    <row r="136" spans="1:16" x14ac:dyDescent="0.3">
      <c r="A136" s="69"/>
      <c r="B136" s="70"/>
      <c r="C136" s="73"/>
      <c r="D136" s="71"/>
      <c r="E136" s="71"/>
      <c r="F136" s="71"/>
      <c r="G136" s="57"/>
      <c r="H136" s="71"/>
      <c r="I136" s="72"/>
      <c r="J136" s="71"/>
      <c r="K136" s="57"/>
      <c r="L136" s="71"/>
      <c r="M136" s="57"/>
      <c r="N136" s="57"/>
      <c r="O136" s="57"/>
      <c r="P136" s="71"/>
    </row>
    <row r="137" spans="1:16" x14ac:dyDescent="0.3">
      <c r="A137" s="69"/>
      <c r="B137" s="70"/>
      <c r="C137" s="73"/>
      <c r="D137" s="71"/>
      <c r="E137" s="71"/>
      <c r="F137" s="71"/>
      <c r="G137" s="57"/>
      <c r="H137" s="71"/>
      <c r="I137" s="72"/>
      <c r="J137" s="71"/>
      <c r="K137" s="57"/>
      <c r="L137" s="71"/>
      <c r="M137" s="57"/>
      <c r="N137" s="57"/>
      <c r="O137" s="57"/>
      <c r="P137" s="71"/>
    </row>
    <row r="138" spans="1:16" x14ac:dyDescent="0.3">
      <c r="A138" s="69"/>
      <c r="B138" s="70"/>
      <c r="C138" s="73"/>
      <c r="D138" s="71"/>
      <c r="E138" s="71"/>
      <c r="F138" s="71"/>
      <c r="G138" s="57"/>
      <c r="H138" s="71"/>
      <c r="I138" s="72"/>
      <c r="J138" s="71"/>
      <c r="K138" s="57"/>
      <c r="L138" s="71"/>
      <c r="M138" s="57"/>
      <c r="N138" s="57"/>
      <c r="O138" s="57"/>
      <c r="P138" s="71"/>
    </row>
    <row r="139" spans="1:16" x14ac:dyDescent="0.3">
      <c r="A139" s="69"/>
      <c r="B139" s="70"/>
      <c r="C139" s="73"/>
      <c r="D139" s="71"/>
      <c r="E139" s="71"/>
      <c r="F139" s="71"/>
      <c r="G139" s="57"/>
      <c r="H139" s="71"/>
      <c r="I139" s="72"/>
      <c r="J139" s="71"/>
      <c r="K139" s="57"/>
      <c r="L139" s="71"/>
      <c r="M139" s="57"/>
      <c r="N139" s="57"/>
      <c r="O139" s="57"/>
      <c r="P139" s="71"/>
    </row>
    <row r="140" spans="1:16" x14ac:dyDescent="0.3">
      <c r="A140" s="69"/>
      <c r="B140" s="70"/>
      <c r="C140" s="71"/>
      <c r="D140" s="71"/>
      <c r="E140" s="71"/>
      <c r="F140" s="71"/>
      <c r="G140" s="57"/>
      <c r="H140" s="71"/>
      <c r="I140" s="72"/>
      <c r="J140" s="71"/>
      <c r="K140" s="57"/>
      <c r="L140" s="71"/>
      <c r="M140" s="71"/>
      <c r="N140" s="71"/>
      <c r="O140" s="71"/>
      <c r="P140" s="71"/>
    </row>
    <row r="141" spans="1:16" x14ac:dyDescent="0.3">
      <c r="A141" s="69"/>
      <c r="B141" s="70"/>
      <c r="C141" s="71"/>
      <c r="D141" s="71"/>
      <c r="E141" s="71"/>
      <c r="F141" s="71"/>
      <c r="G141" s="71"/>
      <c r="H141" s="71"/>
      <c r="I141" s="72"/>
      <c r="J141" s="71"/>
      <c r="K141" s="71"/>
      <c r="L141" s="71"/>
      <c r="M141" s="71"/>
      <c r="N141" s="71"/>
      <c r="O141" s="71"/>
      <c r="P141" s="71"/>
    </row>
    <row r="142" spans="1:16" s="36" customFormat="1" x14ac:dyDescent="0.3">
      <c r="A142" s="28" t="s">
        <v>26</v>
      </c>
      <c r="B142" s="40" t="s">
        <v>145</v>
      </c>
      <c r="C142" s="29" t="s">
        <v>142</v>
      </c>
      <c r="D142" s="29" t="s">
        <v>26</v>
      </c>
      <c r="E142" s="29" t="s">
        <v>143</v>
      </c>
      <c r="F142" s="29" t="s">
        <v>143</v>
      </c>
      <c r="G142" s="29"/>
      <c r="H142" s="29" t="s">
        <v>92</v>
      </c>
      <c r="I142" s="30">
        <v>20700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40" t="s">
        <v>146</v>
      </c>
      <c r="C143" s="29" t="s">
        <v>142</v>
      </c>
      <c r="D143" s="29" t="s">
        <v>26</v>
      </c>
      <c r="E143" s="29" t="s">
        <v>143</v>
      </c>
      <c r="F143" s="29" t="s">
        <v>143</v>
      </c>
      <c r="G143" s="29"/>
      <c r="H143" s="29" t="s">
        <v>92</v>
      </c>
      <c r="I143" s="30">
        <v>18000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28" t="s">
        <v>26</v>
      </c>
      <c r="B144" s="40" t="s">
        <v>147</v>
      </c>
      <c r="C144" s="29" t="s">
        <v>142</v>
      </c>
      <c r="D144" s="29" t="s">
        <v>26</v>
      </c>
      <c r="E144" s="29" t="s">
        <v>143</v>
      </c>
      <c r="F144" s="29" t="s">
        <v>143</v>
      </c>
      <c r="G144" s="29"/>
      <c r="H144" s="29" t="s">
        <v>92</v>
      </c>
      <c r="I144" s="30">
        <v>5150</v>
      </c>
      <c r="J144" s="29"/>
      <c r="K144" s="29" t="s">
        <v>234</v>
      </c>
      <c r="L144" s="29"/>
      <c r="M144" s="29"/>
      <c r="N144" s="29"/>
      <c r="O144" s="29"/>
      <c r="P144" s="29"/>
    </row>
    <row r="145" spans="1:16" s="36" customFormat="1" x14ac:dyDescent="0.3">
      <c r="A145" s="28" t="s">
        <v>26</v>
      </c>
      <c r="B145" s="60" t="s">
        <v>87</v>
      </c>
      <c r="C145" s="29" t="s">
        <v>25</v>
      </c>
      <c r="D145" s="29" t="s">
        <v>26</v>
      </c>
      <c r="E145" s="29" t="s">
        <v>77</v>
      </c>
      <c r="F145" s="29" t="s">
        <v>109</v>
      </c>
      <c r="G145" s="29"/>
      <c r="H145" s="29" t="s">
        <v>92</v>
      </c>
      <c r="I145" s="30">
        <v>4025</v>
      </c>
      <c r="J145" s="29"/>
      <c r="K145" s="29" t="s">
        <v>234</v>
      </c>
      <c r="L145" s="29"/>
      <c r="M145" s="29"/>
      <c r="N145" s="29"/>
      <c r="O145" s="29"/>
      <c r="P145" s="29"/>
    </row>
    <row r="146" spans="1:16" s="36" customFormat="1" x14ac:dyDescent="0.3">
      <c r="A146" s="28" t="s">
        <v>26</v>
      </c>
      <c r="B146" s="60" t="s">
        <v>88</v>
      </c>
      <c r="C146" s="29" t="s">
        <v>25</v>
      </c>
      <c r="D146" s="29" t="s">
        <v>26</v>
      </c>
      <c r="E146" s="29" t="s">
        <v>77</v>
      </c>
      <c r="F146" s="29" t="s">
        <v>109</v>
      </c>
      <c r="G146" s="29"/>
      <c r="H146" s="29" t="s">
        <v>92</v>
      </c>
      <c r="I146" s="30">
        <v>2300</v>
      </c>
      <c r="J146" s="29"/>
      <c r="K146" s="29" t="s">
        <v>234</v>
      </c>
      <c r="L146" s="29"/>
      <c r="M146" s="29"/>
      <c r="N146" s="29"/>
      <c r="O146" s="29"/>
      <c r="P146" s="29"/>
    </row>
    <row r="147" spans="1:16" s="36" customFormat="1" x14ac:dyDescent="0.3">
      <c r="A147" s="28" t="s">
        <v>26</v>
      </c>
      <c r="B147" s="60" t="s">
        <v>104</v>
      </c>
      <c r="C147" s="29" t="s">
        <v>27</v>
      </c>
      <c r="D147" s="29" t="s">
        <v>26</v>
      </c>
      <c r="E147" s="29" t="s">
        <v>72</v>
      </c>
      <c r="F147" s="29" t="s">
        <v>73</v>
      </c>
      <c r="G147" s="29"/>
      <c r="H147" s="29" t="s">
        <v>92</v>
      </c>
      <c r="I147" s="30">
        <v>20000</v>
      </c>
      <c r="J147" s="29"/>
      <c r="K147" s="29" t="s">
        <v>234</v>
      </c>
      <c r="L147" s="29"/>
      <c r="M147" s="29"/>
      <c r="N147" s="29"/>
      <c r="O147" s="29"/>
      <c r="P147" s="29"/>
    </row>
    <row r="148" spans="1:16" s="36" customFormat="1" x14ac:dyDescent="0.3">
      <c r="A148" s="28" t="s">
        <v>26</v>
      </c>
      <c r="B148" s="60" t="s">
        <v>105</v>
      </c>
      <c r="C148" s="29" t="s">
        <v>27</v>
      </c>
      <c r="D148" s="29" t="s">
        <v>26</v>
      </c>
      <c r="E148" s="29" t="s">
        <v>72</v>
      </c>
      <c r="F148" s="29" t="s">
        <v>73</v>
      </c>
      <c r="G148" s="29"/>
      <c r="H148" s="29" t="s">
        <v>92</v>
      </c>
      <c r="I148" s="30">
        <v>15000</v>
      </c>
      <c r="J148" s="29"/>
      <c r="K148" s="29" t="s">
        <v>234</v>
      </c>
      <c r="L148" s="29"/>
      <c r="M148" s="29"/>
      <c r="N148" s="29"/>
      <c r="O148" s="29"/>
      <c r="P148" s="29"/>
    </row>
    <row r="149" spans="1:16" s="36" customFormat="1" x14ac:dyDescent="0.3">
      <c r="A149" s="28" t="s">
        <v>26</v>
      </c>
      <c r="B149" s="60" t="s">
        <v>106</v>
      </c>
      <c r="C149" s="29" t="s">
        <v>27</v>
      </c>
      <c r="D149" s="29" t="s">
        <v>26</v>
      </c>
      <c r="E149" s="29" t="s">
        <v>72</v>
      </c>
      <c r="F149" s="29" t="s">
        <v>73</v>
      </c>
      <c r="G149" s="29"/>
      <c r="H149" s="29" t="s">
        <v>92</v>
      </c>
      <c r="I149" s="30">
        <v>15000</v>
      </c>
      <c r="J149" s="29"/>
      <c r="K149" s="29" t="s">
        <v>234</v>
      </c>
      <c r="L149" s="29"/>
      <c r="M149" s="29"/>
      <c r="N149" s="29"/>
      <c r="O149" s="29"/>
      <c r="P149" s="29"/>
    </row>
    <row r="150" spans="1:16" s="36" customFormat="1" x14ac:dyDescent="0.3">
      <c r="A150" s="28" t="s">
        <v>26</v>
      </c>
      <c r="B150" s="60" t="s">
        <v>107</v>
      </c>
      <c r="C150" s="29" t="s">
        <v>27</v>
      </c>
      <c r="D150" s="29" t="s">
        <v>26</v>
      </c>
      <c r="E150" s="29" t="s">
        <v>72</v>
      </c>
      <c r="F150" s="29" t="s">
        <v>73</v>
      </c>
      <c r="G150" s="29"/>
      <c r="H150" s="29" t="s">
        <v>92</v>
      </c>
      <c r="I150" s="30">
        <v>10000</v>
      </c>
      <c r="J150" s="29"/>
      <c r="K150" s="29" t="s">
        <v>234</v>
      </c>
      <c r="L150" s="29"/>
      <c r="M150" s="29"/>
      <c r="N150" s="29"/>
      <c r="O150" s="29"/>
      <c r="P150" s="29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s="36" customFormat="1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s="36" customFormat="1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6" spans="1:16" s="36" customFormat="1" x14ac:dyDescent="0.3">
      <c r="A156" s="56"/>
      <c r="B156" s="59"/>
      <c r="C156" s="57"/>
      <c r="D156" s="57"/>
      <c r="E156" s="57"/>
      <c r="F156" s="57"/>
      <c r="G156" s="57"/>
      <c r="H156" s="57"/>
      <c r="I156" s="55"/>
      <c r="J156" s="57"/>
      <c r="K156" s="57"/>
      <c r="L156" s="57"/>
      <c r="M156" s="57"/>
      <c r="N156" s="57"/>
      <c r="O156" s="57"/>
      <c r="P156" s="57"/>
    </row>
    <row r="157" spans="1:16" s="36" customFormat="1" x14ac:dyDescent="0.3">
      <c r="A157" s="56"/>
      <c r="B157" s="59"/>
      <c r="C157" s="57"/>
      <c r="D157" s="57"/>
      <c r="E157" s="57"/>
      <c r="F157" s="57"/>
      <c r="G157" s="57"/>
      <c r="H157" s="57"/>
      <c r="I157" s="55"/>
      <c r="J157" s="57"/>
      <c r="K157" s="57"/>
      <c r="L157" s="57"/>
      <c r="M157" s="57"/>
      <c r="N157" s="57"/>
      <c r="O157" s="57"/>
      <c r="P157" s="57"/>
    </row>
    <row r="158" spans="1:16" s="36" customFormat="1" x14ac:dyDescent="0.3">
      <c r="A158" s="56"/>
      <c r="B158" s="59"/>
      <c r="C158" s="57"/>
      <c r="D158" s="57"/>
      <c r="E158" s="57"/>
      <c r="F158" s="57"/>
      <c r="G158" s="57"/>
      <c r="H158" s="57"/>
      <c r="I158" s="55"/>
      <c r="J158" s="57"/>
      <c r="K158" s="57"/>
      <c r="L158" s="57"/>
      <c r="M158" s="57"/>
      <c r="N158" s="57"/>
      <c r="O158" s="57"/>
      <c r="P158" s="57"/>
    </row>
    <row r="159" spans="1:16" s="36" customFormat="1" x14ac:dyDescent="0.3">
      <c r="A159" s="56"/>
      <c r="B159" s="59"/>
      <c r="C159" s="57"/>
      <c r="D159" s="57"/>
      <c r="E159" s="57"/>
      <c r="F159" s="57"/>
      <c r="G159" s="57"/>
      <c r="H159" s="57"/>
      <c r="I159" s="55"/>
      <c r="J159" s="57"/>
      <c r="K159" s="57"/>
      <c r="L159" s="57"/>
      <c r="M159" s="57"/>
      <c r="N159" s="57"/>
      <c r="O159" s="57"/>
      <c r="P159" s="57"/>
    </row>
    <row r="160" spans="1:16" s="36" customFormat="1" x14ac:dyDescent="0.3">
      <c r="A160" s="56"/>
      <c r="B160" s="59"/>
      <c r="C160" s="57"/>
      <c r="D160" s="57"/>
      <c r="E160" s="57"/>
      <c r="F160" s="57"/>
      <c r="G160" s="57"/>
      <c r="H160" s="57"/>
      <c r="I160" s="55"/>
      <c r="J160" s="57"/>
      <c r="K160" s="57"/>
      <c r="L160" s="57"/>
      <c r="M160" s="57"/>
      <c r="N160" s="57"/>
      <c r="O160" s="57"/>
      <c r="P160" s="57"/>
    </row>
    <row r="161" spans="1:16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4" spans="1:16" ht="18" thickBot="1" x14ac:dyDescent="0.35"/>
    <row r="165" spans="1:16" ht="25.8" thickTop="1" thickBot="1" x14ac:dyDescent="0.35">
      <c r="F165" s="80"/>
      <c r="G165" s="37" t="s">
        <v>227</v>
      </c>
      <c r="H165" s="64">
        <f>SUMIF(D2:D1047,"مدفوع",I2:I1047)-748000</f>
        <v>700643.24999999977</v>
      </c>
    </row>
    <row r="166" spans="1:16" ht="25.8" thickTop="1" thickBot="1" x14ac:dyDescent="0.35">
      <c r="E166" s="67"/>
      <c r="F166" s="80"/>
      <c r="G166" s="38" t="s">
        <v>226</v>
      </c>
      <c r="H166" s="65">
        <f>SUMIF(D2:D1047,"مستقبلي",I2:I1047)</f>
        <v>110175</v>
      </c>
    </row>
    <row r="167" spans="1:16" ht="25.8" thickTop="1" thickBot="1" x14ac:dyDescent="0.35">
      <c r="E167" s="67"/>
      <c r="F167" s="80"/>
      <c r="G167" s="39" t="s">
        <v>225</v>
      </c>
      <c r="H167" s="66">
        <f>SUMIF(D2:D1047,"مدفوع",I2:I1047)</f>
        <v>1448643.2499999998</v>
      </c>
    </row>
    <row r="168" spans="1:16" ht="18" thickTop="1" x14ac:dyDescent="0.3">
      <c r="E168" s="67"/>
    </row>
    <row r="169" spans="1:16" x14ac:dyDescent="0.3">
      <c r="E169" s="67"/>
    </row>
    <row r="171" spans="1:16" x14ac:dyDescent="0.3">
      <c r="E171" s="68"/>
      <c r="H171" s="63"/>
    </row>
  </sheetData>
  <mergeCells count="1">
    <mergeCell ref="A2:P2"/>
  </mergeCells>
  <dataValidations count="1">
    <dataValidation type="list" allowBlank="1" showInputMessage="1" showErrorMessage="1" sqref="D5:D162" xr:uid="{8DD4A2C2-2D88-4DA6-AAB9-88AA2C531F27}">
      <formula1>$D$5:$D$162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4"/>
  <sheetViews>
    <sheetView rightToLeft="1" topLeftCell="A34" zoomScaleNormal="100" workbookViewId="0">
      <selection activeCell="A43" sqref="A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15"/>
      <c r="B36" s="44"/>
      <c r="C36" s="84"/>
      <c r="D36" s="8"/>
      <c r="E36" s="33"/>
      <c r="F36" s="8"/>
      <c r="G36" s="45">
        <f>Table83[[#This Row],[سعر المتر]]*Table83[[#This Row],[الكمية]]</f>
        <v>0</v>
      </c>
      <c r="H36" s="16"/>
    </row>
    <row r="37" spans="1:13" x14ac:dyDescent="0.4">
      <c r="A37" s="31"/>
      <c r="B37" s="32"/>
      <c r="C37" s="32"/>
      <c r="D37" s="33"/>
      <c r="E37" s="33"/>
      <c r="F37" s="33"/>
      <c r="G37" s="42">
        <f>Table83[[#This Row],[سعر المتر]]*Table83[[#This Row],[الكمية]]</f>
        <v>0</v>
      </c>
      <c r="H37" s="35"/>
    </row>
    <row r="38" spans="1:13" x14ac:dyDescent="0.4">
      <c r="J38" s="86"/>
      <c r="K38" s="86"/>
      <c r="L38" s="86"/>
    </row>
    <row r="39" spans="1:13" x14ac:dyDescent="0.4">
      <c r="F39" s="9" t="s">
        <v>148</v>
      </c>
      <c r="G39" s="41">
        <f>SUM(G6:G37)</f>
        <v>579.5</v>
      </c>
    </row>
    <row r="40" spans="1:13" x14ac:dyDescent="0.4">
      <c r="M40" s="54"/>
    </row>
    <row r="41" spans="1:13" x14ac:dyDescent="0.4">
      <c r="F41" s="9" t="s">
        <v>198</v>
      </c>
      <c r="G41" s="41">
        <f>G39/J49</f>
        <v>2</v>
      </c>
    </row>
    <row r="43" spans="1:13" x14ac:dyDescent="0.4">
      <c r="J43" s="86"/>
      <c r="K43" s="86"/>
      <c r="L43" s="86"/>
    </row>
    <row r="47" spans="1:13" x14ac:dyDescent="0.4">
      <c r="J47" s="87" t="s">
        <v>284</v>
      </c>
      <c r="K47" s="87"/>
      <c r="L47" s="87"/>
    </row>
    <row r="48" spans="1:13" x14ac:dyDescent="0.4">
      <c r="J48" s="1" t="s">
        <v>164</v>
      </c>
      <c r="K48" s="1" t="s">
        <v>150</v>
      </c>
      <c r="L48" s="1" t="s">
        <v>6</v>
      </c>
    </row>
    <row r="49" spans="10:12" x14ac:dyDescent="0.4">
      <c r="J49" s="1">
        <v>289.75</v>
      </c>
      <c r="K49" s="1">
        <v>8</v>
      </c>
      <c r="L49" s="81">
        <f>J49*K49</f>
        <v>2318</v>
      </c>
    </row>
    <row r="52" spans="10:12" x14ac:dyDescent="0.4">
      <c r="J52" s="88" t="s">
        <v>285</v>
      </c>
      <c r="K52" s="88"/>
      <c r="L52" s="88"/>
    </row>
    <row r="53" spans="10:12" x14ac:dyDescent="0.4">
      <c r="J53" s="1" t="s">
        <v>164</v>
      </c>
      <c r="K53" s="1" t="s">
        <v>150</v>
      </c>
      <c r="L53" s="1" t="s">
        <v>6</v>
      </c>
    </row>
    <row r="54" spans="10:12" x14ac:dyDescent="0.4">
      <c r="J54" s="1">
        <v>5.75</v>
      </c>
      <c r="K54" s="1">
        <v>15</v>
      </c>
      <c r="L54" s="1">
        <f>J54*K54</f>
        <v>86.25</v>
      </c>
    </row>
  </sheetData>
  <mergeCells count="4">
    <mergeCell ref="J38:L38"/>
    <mergeCell ref="J43:L43"/>
    <mergeCell ref="J47:L47"/>
    <mergeCell ref="J52:L5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2026-08-02T06:36:02Z</dcterms:modified>
  <cp:category/>
  <cp:contentStatus/>
</cp:coreProperties>
</file>