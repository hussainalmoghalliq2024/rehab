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8_{E45D53DF-6B75-D947-9C0D-D1094C2CD388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9" l="1"/>
  <c r="L48" i="9"/>
  <c r="G31" i="9"/>
  <c r="G30" i="9"/>
  <c r="G32" i="9"/>
  <c r="G33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44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45" i="7"/>
  <c r="E10" i="3"/>
  <c r="H143" i="7"/>
  <c r="G38" i="9"/>
  <c r="G40" i="9"/>
</calcChain>
</file>

<file path=xl/sharedStrings.xml><?xml version="1.0" encoding="utf-8"?>
<sst xmlns="http://schemas.openxmlformats.org/spreadsheetml/2006/main" count="1461" uniqueCount="296">
  <si>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</si>
  <si>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</si>
  <si>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</si>
  <si>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</si>
  <si>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</si>
  <si>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</si>
  <si>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</si>
  <si>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</si>
  <si>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</si>
  <si>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</si>
  <si>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</si>
  <si>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</si>
  <si>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</si>
  <si>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</si>
  <si>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</si>
  <si>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</si>
  <si>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</si>
  <si>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</si>
  <si>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</si>
  <si>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</si>
  <si>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</si>
  <si>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</si>
  <si>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</si>
  <si>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</si>
  <si>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</si>
  <si>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</si>
  <si>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</si>
  <si>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</si>
  <si>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</si>
  <si>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</si>
  <si>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</si>
  <si>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</si>
  <si>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</si>
  <si>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</si>
  <si>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</si>
  <si>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</si>
  <si>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</si>
  <si>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</si>
  <si>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</si>
  <si>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</si>
  <si>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</si>
  <si>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</si>
  <si>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</si>
  <si>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</si>
  <si>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</si>
  <si>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</si>
  <si>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</si>
  <si>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</si>
  <si>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</si>
  <si>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</si>
  <si>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</si>
  <si>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</si>
  <si>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</si>
  <si>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</si>
  <si>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</si>
  <si>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</si>
  <si>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</si>
  <si>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</si>
  <si>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</si>
  <si>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</si>
  <si>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</si>
  <si>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</si>
  <si>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</si>
  <si>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</si>
  <si>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</si>
  <si>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</si>
  <si>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</si>
  <si>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</si>
  <si>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</si>
  <si>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</si>
  <si>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</si>
  <si>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</si>
  <si>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</si>
  <si>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</si>
  <si>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</si>
  <si>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</si>
  <si>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</si>
  <si>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</si>
  <si>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</si>
  <si>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</si>
  <si>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</si>
  <si>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</si>
  <si>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</si>
  <si>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</si>
  <si>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</si>
  <si>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</si>
  <si>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</si>
  <si>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</si>
  <si>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</si>
  <si>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</si>
  <si>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</si>
  <si>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</si>
  <si>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</si>
  <si>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</si>
  <si>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</si>
  <si>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</si>
  <si>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</si>
  <si>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</si>
  <si>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</si>
  <si>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</si>
  <si>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</si>
  <si>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</si>
  <si>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</si>
  <si>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</si>
  <si>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</si>
  <si>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</si>
  <si>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</si>
  <si>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</si>
  <si>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</si>
  <si>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</si>
  <si>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</si>
  <si>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</si>
  <si>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</si>
  <si>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</si>
  <si>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</si>
  <si>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</si>
  <si>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</si>
  <si>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</si>
  <si>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</si>
  <si>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</si>
  <si>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</si>
  <si>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</si>
  <si>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</si>
  <si>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</si>
  <si>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</si>
  <si>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</si>
  <si>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</si>
  <si>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</si>
  <si>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</si>
  <si>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</si>
  <si>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</si>
  <si>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</si>
  <si>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</si>
  <si>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</si>
  <si>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</si>
  <si>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</si>
  <si>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</si>
  <si>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</si>
  <si>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</si>
  <si>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</si>
  <si>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</si>
  <si>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</si>
  <si>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</si>
  <si>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</si>
  <si>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</si>
  <si>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</si>
  <si>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</si>
  <si>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</si>
  <si>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</si>
  <si>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خرسانة المهرون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</si>
  <si>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</si>
  <si>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</si>
  <si>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</si>
  <si>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</si>
  <si>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</si>
  <si>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</si>
  <si>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</si>
  <si>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</si>
  <si>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</si>
  <si>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</si>
  <si>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</si>
  <si>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</si>
  <si>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</si>
  <si>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</si>
  <si>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</si>
  <si>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</si>
  <si>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</si>
  <si>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</si>
  <si>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</si>
  <si>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</si>
  <si>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</si>
  <si>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</si>
  <si>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</si>
  <si>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</si>
  <si>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</si>
  <si>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</si>
  <si>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</si>
  <si>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</si>
  <si>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</si>
  <si>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</si>
  <si>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</si>
  <si>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</si>
  <si>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</si>
  <si>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</si>
  <si>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</si>
  <si>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</si>
  <si>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</si>
  <si>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</si>
  <si>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</si>
  <si>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</si>
  <si>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</si>
  <si>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</si>
  <si>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</si>
  <si>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</si>
  <si>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</si>
  <si>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</si>
  <si>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</si>
  <si>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</si>
  <si>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</si>
  <si>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</si>
  <si>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</si>
  <si>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</si>
  <si>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</si>
  <si>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</si>
  <si>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</si>
  <si>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</si>
  <si>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</si>
  <si>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</si>
  <si>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</si>
  <si>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</si>
  <si>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</si>
  <si>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</si>
  <si>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</si>
  <si>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</si>
  <si>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</si>
  <si>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</si>
  <si>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</si>
  <si>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</si>
  <si>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</si>
  <si>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</si>
  <si>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</si>
  <si>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</si>
  <si>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</si>
  <si>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</si>
  <si>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</si>
  <si>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</si>
  <si>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</si>
  <si>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</si>
  <si>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</si>
  <si>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</si>
  <si>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</si>
  <si>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</si>
  <si>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</si>
  <si>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</si>
  <si>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</si>
  <si>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</si>
  <si>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</si>
  <si>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</si>
  <si>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</si>
  <si>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</si>
  <si>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</si>
  <si>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</si>
  <si>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</si>
  <si>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</si>
  <si>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</si>
  <si>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</si>
  <si>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</si>
  <si>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</si>
  <si>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</si>
  <si>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</si>
  <si>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</si>
  <si>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</si>
  <si>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</si>
  <si>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</si>
  <si>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</si>
  <si>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</si>
  <si>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</si>
  <si>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</si>
  <si>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</si>
  <si>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</si>
  <si>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</si>
  <si>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</si>
  <si>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</si>
  <si>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</si>
  <si>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</si>
  <si>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</si>
  <si>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</si>
  <si>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</si>
  <si>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</si>
  <si>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</si>
  <si>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</si>
  <si>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</si>
  <si>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</si>
  <si>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</si>
  <si>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</si>
  <si>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</si>
  <si>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</si>
  <si>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</si>
  <si>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</si>
  <si>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</si>
  <si>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</si>
  <si>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</si>
  <si>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</si>
  <si>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</si>
  <si>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</si>
  <si>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</si>
  <si>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ماء بارد لصبية أعمدة الدور الأول</t>
  </si>
  <si>
    <t>1111 متر مكعب ضغط 4000</t>
  </si>
  <si>
    <t>ارجو تحديث عدد ال م 3 لصبية يوم الخميس</t>
  </si>
  <si>
    <t>ارجو تحديث عدد ال م 3 للماء البارد لصبية يوم الخميس</t>
  </si>
  <si>
    <t xml:space="preserve">صبية أعمدة الدور الأول
96 م3
4000 psi
289.75 ريال للمتر المكعب </t>
  </si>
  <si>
    <t>ماء بارد لصبية أعمدة الدور الأول
96 م3
 5.75 ريال لكل متر مكعب</t>
  </si>
  <si>
    <t>صبية أعمدة الدور الأول</t>
  </si>
  <si>
    <t>حاسبة خرسانة الأسمنت</t>
  </si>
  <si>
    <t>حاسبة الماء البارد للخرسانة</t>
  </si>
  <si>
    <t xml:space="preserve"> كاش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</si>
</sst>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409]mmmm\ d\,\ yyyy;@"/>
    <numFmt numFmtId="166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164" fontId="7" fillId="0" borderId="0" applyFont="0" applyFill="0" applyBorder="0" applyAlignment="0" applyProtection="0"/>
  </cellStyleXfs>
  <cellXfs count="95">
    <xf numFmtId="0" fontId="0" fillId="0" borderId="0" xfId="0"/>
    <xf numFmtId="0" fontId="1" fillId="0" borderId="1" xfId="0" applyFont="1" applyBorder="1"/>
    <xf numFmtId="0" fontId="1" fillId="0" borderId="0" xfId="0" applyFont="1"/>
    <xf numFmtId="165" fontId="1" fillId="0" borderId="0" xfId="0" applyNumberFormat="1" applyFont="1"/>
    <xf numFmtId="165" fontId="1" fillId="0" borderId="1" xfId="0" applyNumberFormat="1" applyFont="1" applyBorder="1" applyAlignment="1">
      <alignment horizontal="center" vertical="center" readingOrder="2"/>
    </xf>
    <xf numFmtId="165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6" fontId="1" fillId="0" borderId="1" xfId="0" applyNumberFormat="1" applyFont="1" applyBorder="1"/>
    <xf numFmtId="165" fontId="1" fillId="4" borderId="1" xfId="0" applyNumberFormat="1" applyFont="1" applyFill="1" applyBorder="1" applyAlignment="1">
      <alignment horizontal="center" vertical="center" readingOrder="2"/>
    </xf>
    <xf numFmtId="165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5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5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5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6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164" fontId="3" fillId="2" borderId="1" xfId="1" applyFont="1" applyFill="1" applyBorder="1"/>
    <xf numFmtId="39" fontId="1" fillId="0" borderId="1" xfId="1" applyNumberFormat="1" applyFont="1" applyBorder="1"/>
    <xf numFmtId="165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5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164" fontId="1" fillId="0" borderId="0" xfId="0" applyNumberFormat="1" applyFont="1"/>
    <xf numFmtId="166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5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6" fontId="6" fillId="5" borderId="7" xfId="0" applyNumberFormat="1" applyFont="1" applyFill="1" applyBorder="1" applyAlignment="1">
      <alignment horizontal="center" vertical="center"/>
    </xf>
    <xf numFmtId="166" fontId="6" fillId="2" borderId="7" xfId="0" applyNumberFormat="1" applyFont="1" applyFill="1" applyBorder="1" applyAlignment="1">
      <alignment horizontal="center" vertical="center"/>
    </xf>
    <xf numFmtId="166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6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5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/>
    <xf numFmtId="0" fontId="1" fillId="7" borderId="0" xfId="0" applyFont="1" applyFill="1"/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2" borderId="10" xfId="0" applyFont="1" applyFill="1" applyBorder="1"/>
    <xf numFmtId="0" fontId="5" fillId="7" borderId="1" xfId="0" applyFont="1" applyFill="1" applyBorder="1" applyAlignment="1">
      <alignment horizontal="right" wrapText="1"/>
    </xf>
    <xf numFmtId="166" fontId="5" fillId="7" borderId="1" xfId="0" applyNumberFormat="1" applyFont="1" applyFill="1" applyBorder="1" applyAlignment="1">
      <alignment horizontal="center" vertical="center"/>
    </xf>
    <xf numFmtId="0" fontId="1" fillId="0" borderId="0" xfId="0" applyFont="1" applyFill="1" applyBorder="1"/>
    <xf numFmtId="165" fontId="4" fillId="0" borderId="0" xfId="0" applyNumberFormat="1" applyFont="1" applyAlignment="1">
      <alignment horizontal="center" vertical="distributed"/>
    </xf>
    <xf numFmtId="0" fontId="1" fillId="0" borderId="0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6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6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5" Type="http://schemas.openxmlformats.org/officeDocument/2006/relationships/worksheet" Target="worksheets/sheet5.xml" /><Relationship Id="rId10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40" totalsRowShown="0" headerRowDxfId="65" dataDxfId="64">
  <autoFilter ref="A4:M140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 /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 /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 /><Relationship Id="rId2" Type="http://schemas.openxmlformats.org/officeDocument/2006/relationships/table" Target="../tables/table5.xml" /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49"/>
  <sheetViews>
    <sheetView rightToLeft="1" tabSelected="1" topLeftCell="A113" zoomScale="115" zoomScaleNormal="115" workbookViewId="0">
      <selection activeCell="L116" sqref="L116"/>
    </sheetView>
  </sheetViews>
  <sheetFormatPr defaultColWidth="8.7421875" defaultRowHeight="18" x14ac:dyDescent="0.2"/>
  <cols>
    <col min="1" max="1" width="24.48046875" style="22" bestFit="1" customWidth="1"/>
    <col min="2" max="2" width="134.38671875" style="58" bestFit="1" customWidth="1"/>
    <col min="3" max="3" width="39.68359375" style="21" bestFit="1" customWidth="1"/>
    <col min="4" max="4" width="9.68359375" style="21" bestFit="1" customWidth="1"/>
    <col min="5" max="6" width="19.37109375" style="21" bestFit="1" customWidth="1"/>
    <col min="7" max="7" width="42.375" style="21" bestFit="1" customWidth="1"/>
    <col min="8" max="8" width="32.1484375" style="21" bestFit="1" customWidth="1"/>
    <col min="9" max="9" width="22.8671875" style="23" bestFit="1" customWidth="1"/>
    <col min="10" max="10" width="15.33203125" style="21" bestFit="1" customWidth="1"/>
    <col min="11" max="11" width="11.97265625" style="21" bestFit="1" customWidth="1"/>
    <col min="12" max="12" width="35.91796875" style="21" bestFit="1" customWidth="1"/>
    <col min="13" max="13" width="14.66015625" style="21" bestFit="1" customWidth="1"/>
    <col min="14" max="14" width="8.7421875" style="21"/>
    <col min="15" max="15" width="6.859375" style="21" bestFit="1" customWidth="1"/>
    <col min="16" max="16384" width="8.7421875" style="21"/>
  </cols>
  <sheetData>
    <row r="2" spans="1:13" ht="36" x14ac:dyDescent="0.2">
      <c r="A2" s="90" t="s">
        <v>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</row>
    <row r="4" spans="1:13" s="25" customFormat="1" ht="33" x14ac:dyDescent="0.2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236</v>
      </c>
      <c r="L4" s="25" t="s">
        <v>240</v>
      </c>
      <c r="M4" s="27" t="s">
        <v>90</v>
      </c>
    </row>
    <row r="5" spans="1:13" x14ac:dyDescent="0.2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237</v>
      </c>
      <c r="L5" s="71"/>
      <c r="M5" s="71" t="s">
        <v>10</v>
      </c>
    </row>
    <row r="6" spans="1:13" x14ac:dyDescent="0.2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237</v>
      </c>
      <c r="L6" s="71" t="s">
        <v>12</v>
      </c>
      <c r="M6" s="71" t="s">
        <v>10</v>
      </c>
    </row>
    <row r="7" spans="1:13" x14ac:dyDescent="0.2">
      <c r="A7" s="69">
        <v>45475</v>
      </c>
      <c r="B7" s="70" t="s">
        <v>22</v>
      </c>
      <c r="C7" s="71" t="s">
        <v>23</v>
      </c>
      <c r="D7" s="71" t="s">
        <v>9</v>
      </c>
      <c r="E7" s="71" t="s">
        <v>247</v>
      </c>
      <c r="F7" s="71" t="s">
        <v>247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237</v>
      </c>
      <c r="L7" s="71" t="s">
        <v>61</v>
      </c>
      <c r="M7" s="71" t="s">
        <v>10</v>
      </c>
    </row>
    <row r="8" spans="1:13" x14ac:dyDescent="0.2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237</v>
      </c>
      <c r="L8" s="71" t="s">
        <v>14</v>
      </c>
      <c r="M8" s="71" t="s">
        <v>10</v>
      </c>
    </row>
    <row r="9" spans="1:13" x14ac:dyDescent="0.2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237</v>
      </c>
      <c r="L9" s="71" t="s">
        <v>16</v>
      </c>
      <c r="M9" s="71" t="s">
        <v>10</v>
      </c>
    </row>
    <row r="10" spans="1:13" ht="33" x14ac:dyDescent="0.2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247</v>
      </c>
      <c r="F10" s="71" t="s">
        <v>247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237</v>
      </c>
      <c r="L10" s="71" t="s">
        <v>56</v>
      </c>
      <c r="M10" s="71" t="s">
        <v>10</v>
      </c>
    </row>
    <row r="11" spans="1:13" ht="33" x14ac:dyDescent="0.2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247</v>
      </c>
      <c r="F11" s="71" t="s">
        <v>247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237</v>
      </c>
      <c r="L11" s="71" t="s">
        <v>56</v>
      </c>
      <c r="M11" s="71" t="s">
        <v>10</v>
      </c>
    </row>
    <row r="12" spans="1:13" x14ac:dyDescent="0.2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247</v>
      </c>
      <c r="F12" s="71" t="s">
        <v>247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237</v>
      </c>
      <c r="L12" s="71" t="s">
        <v>58</v>
      </c>
      <c r="M12" s="71" t="s">
        <v>10</v>
      </c>
    </row>
    <row r="13" spans="1:13" x14ac:dyDescent="0.2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247</v>
      </c>
      <c r="F13" s="71" t="s">
        <v>247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237</v>
      </c>
      <c r="L13" s="71" t="s">
        <v>56</v>
      </c>
      <c r="M13" s="71" t="s">
        <v>10</v>
      </c>
    </row>
    <row r="14" spans="1:13" x14ac:dyDescent="0.2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237</v>
      </c>
      <c r="L14" s="71" t="s">
        <v>59</v>
      </c>
      <c r="M14" s="71" t="s">
        <v>10</v>
      </c>
    </row>
    <row r="15" spans="1:13" x14ac:dyDescent="0.2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247</v>
      </c>
      <c r="F15" s="71" t="s">
        <v>247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237</v>
      </c>
      <c r="L15" s="71" t="s">
        <v>58</v>
      </c>
      <c r="M15" s="71" t="s">
        <v>10</v>
      </c>
    </row>
    <row r="16" spans="1:13" ht="162" x14ac:dyDescent="0.2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237</v>
      </c>
      <c r="L16" s="71" t="s">
        <v>58</v>
      </c>
      <c r="M16" s="71" t="s">
        <v>10</v>
      </c>
    </row>
    <row r="17" spans="1:13" x14ac:dyDescent="0.2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237</v>
      </c>
      <c r="L17" s="71" t="s">
        <v>156</v>
      </c>
      <c r="M17" s="71" t="s">
        <v>10</v>
      </c>
    </row>
    <row r="18" spans="1:13" x14ac:dyDescent="0.2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237</v>
      </c>
      <c r="L18" s="71" t="s">
        <v>59</v>
      </c>
      <c r="M18" s="71" t="s">
        <v>10</v>
      </c>
    </row>
    <row r="19" spans="1:13" x14ac:dyDescent="0.2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237</v>
      </c>
      <c r="L19" s="71" t="s">
        <v>61</v>
      </c>
      <c r="M19" s="71" t="s">
        <v>10</v>
      </c>
    </row>
    <row r="20" spans="1:13" x14ac:dyDescent="0.2">
      <c r="A20" s="69">
        <v>46019</v>
      </c>
      <c r="B20" s="70" t="s">
        <v>34</v>
      </c>
      <c r="C20" s="71" t="s">
        <v>168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237</v>
      </c>
      <c r="L20" s="71" t="s">
        <v>62</v>
      </c>
      <c r="M20" s="71" t="s">
        <v>10</v>
      </c>
    </row>
    <row r="21" spans="1:13" x14ac:dyDescent="0.2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237</v>
      </c>
      <c r="L21" s="71" t="s">
        <v>60</v>
      </c>
      <c r="M21" s="71" t="s">
        <v>10</v>
      </c>
    </row>
    <row r="22" spans="1:13" x14ac:dyDescent="0.2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237</v>
      </c>
      <c r="L22" s="71" t="s">
        <v>61</v>
      </c>
      <c r="M22" s="71" t="s">
        <v>10</v>
      </c>
    </row>
    <row r="23" spans="1:13" x14ac:dyDescent="0.2">
      <c r="A23" s="69">
        <v>46022</v>
      </c>
      <c r="B23" s="70" t="s">
        <v>186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187</v>
      </c>
      <c r="K23" s="71" t="s">
        <v>237</v>
      </c>
      <c r="L23" s="71" t="s">
        <v>187</v>
      </c>
      <c r="M23" s="71" t="s">
        <v>10</v>
      </c>
    </row>
    <row r="24" spans="1:13" x14ac:dyDescent="0.2">
      <c r="A24" s="69">
        <v>46023</v>
      </c>
      <c r="B24" s="70" t="s">
        <v>47</v>
      </c>
      <c r="C24" s="71" t="s">
        <v>168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237</v>
      </c>
      <c r="L24" s="71" t="s">
        <v>62</v>
      </c>
      <c r="M24" s="71" t="s">
        <v>10</v>
      </c>
    </row>
    <row r="25" spans="1:13" x14ac:dyDescent="0.2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245</v>
      </c>
      <c r="H25" s="71" t="s">
        <v>52</v>
      </c>
      <c r="I25" s="72">
        <v>70</v>
      </c>
      <c r="J25" s="71" t="s">
        <v>63</v>
      </c>
      <c r="K25" s="71" t="s">
        <v>237</v>
      </c>
      <c r="L25" s="71" t="s">
        <v>58</v>
      </c>
      <c r="M25" s="71" t="s">
        <v>10</v>
      </c>
    </row>
    <row r="26" spans="1:13" x14ac:dyDescent="0.2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247</v>
      </c>
      <c r="F26" s="71" t="s">
        <v>247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237</v>
      </c>
      <c r="L26" s="71" t="s">
        <v>60</v>
      </c>
      <c r="M26" s="71" t="s">
        <v>10</v>
      </c>
    </row>
    <row r="27" spans="1:13" x14ac:dyDescent="0.2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237</v>
      </c>
      <c r="L27" s="71" t="s">
        <v>59</v>
      </c>
      <c r="M27" s="71" t="s">
        <v>10</v>
      </c>
    </row>
    <row r="28" spans="1:13" x14ac:dyDescent="0.2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239</v>
      </c>
      <c r="G28" s="71" t="s">
        <v>244</v>
      </c>
      <c r="H28" s="71" t="s">
        <v>93</v>
      </c>
      <c r="I28" s="72">
        <v>10080</v>
      </c>
      <c r="J28" s="71" t="s">
        <v>54</v>
      </c>
      <c r="K28" s="71" t="s">
        <v>237</v>
      </c>
      <c r="L28" s="71" t="s">
        <v>94</v>
      </c>
      <c r="M28" s="71" t="s">
        <v>10</v>
      </c>
    </row>
    <row r="29" spans="1:13" x14ac:dyDescent="0.2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237</v>
      </c>
      <c r="L29" s="71" t="s">
        <v>120</v>
      </c>
      <c r="M29" s="71" t="s">
        <v>10</v>
      </c>
    </row>
    <row r="30" spans="1:13" x14ac:dyDescent="0.2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239</v>
      </c>
      <c r="G30" s="71" t="s">
        <v>244</v>
      </c>
      <c r="H30" s="71" t="s">
        <v>93</v>
      </c>
      <c r="I30" s="72">
        <v>1890</v>
      </c>
      <c r="J30" s="71" t="s">
        <v>54</v>
      </c>
      <c r="K30" s="71" t="s">
        <v>237</v>
      </c>
      <c r="L30" s="71" t="s">
        <v>94</v>
      </c>
      <c r="M30" s="71" t="s">
        <v>10</v>
      </c>
    </row>
    <row r="31" spans="1:13" ht="65.25" x14ac:dyDescent="0.2">
      <c r="A31" s="69">
        <v>46028</v>
      </c>
      <c r="B31" s="74" t="s">
        <v>115</v>
      </c>
      <c r="C31" s="73" t="s">
        <v>238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237</v>
      </c>
      <c r="L31" s="71" t="s">
        <v>56</v>
      </c>
      <c r="M31" s="71" t="s">
        <v>10</v>
      </c>
    </row>
    <row r="32" spans="1:13" ht="33" x14ac:dyDescent="0.2">
      <c r="A32" s="69">
        <v>46028</v>
      </c>
      <c r="B32" s="74" t="s">
        <v>117</v>
      </c>
      <c r="C32" s="73" t="s">
        <v>238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237</v>
      </c>
      <c r="L32" s="71" t="s">
        <v>56</v>
      </c>
      <c r="M32" s="71" t="s">
        <v>10</v>
      </c>
    </row>
    <row r="33" spans="1:13" x14ac:dyDescent="0.2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237</v>
      </c>
      <c r="L33" s="71" t="s">
        <v>133</v>
      </c>
      <c r="M33" s="71" t="s">
        <v>10</v>
      </c>
    </row>
    <row r="34" spans="1:13" x14ac:dyDescent="0.2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237</v>
      </c>
      <c r="L34" s="71" t="s">
        <v>120</v>
      </c>
      <c r="M34" s="71" t="s">
        <v>10</v>
      </c>
    </row>
    <row r="35" spans="1:13" x14ac:dyDescent="0.2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237</v>
      </c>
      <c r="L35" s="71" t="s">
        <v>120</v>
      </c>
      <c r="M35" s="71" t="s">
        <v>10</v>
      </c>
    </row>
    <row r="36" spans="1:13" x14ac:dyDescent="0.2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237</v>
      </c>
      <c r="L36" s="71"/>
      <c r="M36" s="71" t="s">
        <v>10</v>
      </c>
    </row>
    <row r="37" spans="1:13" ht="33" x14ac:dyDescent="0.2">
      <c r="A37" s="69">
        <v>46037</v>
      </c>
      <c r="B37" s="74" t="s">
        <v>122</v>
      </c>
      <c r="C37" s="73" t="s">
        <v>238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237</v>
      </c>
      <c r="L37" s="71" t="s">
        <v>56</v>
      </c>
      <c r="M37" s="71" t="s">
        <v>10</v>
      </c>
    </row>
    <row r="38" spans="1:13" s="75" customFormat="1" x14ac:dyDescent="0.2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237</v>
      </c>
      <c r="L38" s="25" t="s">
        <v>61</v>
      </c>
      <c r="M38" s="25" t="s">
        <v>10</v>
      </c>
    </row>
    <row r="39" spans="1:13" s="75" customFormat="1" ht="65.25" x14ac:dyDescent="0.2">
      <c r="A39" s="69">
        <v>46042</v>
      </c>
      <c r="B39" s="74" t="s">
        <v>155</v>
      </c>
      <c r="C39" s="73" t="s">
        <v>127</v>
      </c>
      <c r="D39" s="71" t="s">
        <v>9</v>
      </c>
      <c r="E39" s="71" t="s">
        <v>80</v>
      </c>
      <c r="F39" s="71" t="s">
        <v>239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237</v>
      </c>
      <c r="L39" s="71" t="s">
        <v>56</v>
      </c>
      <c r="M39" s="71" t="s">
        <v>10</v>
      </c>
    </row>
    <row r="40" spans="1:13" ht="113.25" x14ac:dyDescent="0.2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232</v>
      </c>
      <c r="G40" s="71"/>
      <c r="H40" s="71" t="s">
        <v>93</v>
      </c>
      <c r="I40" s="72">
        <v>4565.5</v>
      </c>
      <c r="J40" s="71" t="s">
        <v>54</v>
      </c>
      <c r="K40" s="71" t="s">
        <v>237</v>
      </c>
      <c r="L40" s="71" t="s">
        <v>94</v>
      </c>
      <c r="M40" s="71" t="s">
        <v>10</v>
      </c>
    </row>
    <row r="41" spans="1:13" ht="97.5" x14ac:dyDescent="0.2">
      <c r="A41" s="69">
        <v>46046</v>
      </c>
      <c r="B41" s="74" t="s">
        <v>129</v>
      </c>
      <c r="C41" s="73" t="s">
        <v>238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237</v>
      </c>
      <c r="L41" s="71" t="s">
        <v>56</v>
      </c>
      <c r="M41" s="71" t="s">
        <v>10</v>
      </c>
    </row>
    <row r="42" spans="1:13" x14ac:dyDescent="0.2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237</v>
      </c>
      <c r="L42" s="71" t="s">
        <v>138</v>
      </c>
      <c r="M42" s="71" t="s">
        <v>10</v>
      </c>
    </row>
    <row r="43" spans="1:13" ht="33" x14ac:dyDescent="0.2">
      <c r="A43" s="69">
        <v>46048</v>
      </c>
      <c r="B43" s="74" t="s">
        <v>139</v>
      </c>
      <c r="C43" s="71" t="s">
        <v>168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237</v>
      </c>
      <c r="L43" s="71" t="s">
        <v>62</v>
      </c>
      <c r="M43" s="71" t="s">
        <v>10</v>
      </c>
    </row>
    <row r="44" spans="1:13" x14ac:dyDescent="0.2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237</v>
      </c>
      <c r="L44" s="71"/>
      <c r="M44" s="71" t="s">
        <v>10</v>
      </c>
    </row>
    <row r="45" spans="1:13" x14ac:dyDescent="0.2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237</v>
      </c>
      <c r="L45" s="71" t="s">
        <v>156</v>
      </c>
      <c r="M45" s="71" t="s">
        <v>10</v>
      </c>
    </row>
    <row r="46" spans="1:13" ht="81" x14ac:dyDescent="0.2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232</v>
      </c>
      <c r="G46" s="71"/>
      <c r="H46" s="71" t="s">
        <v>93</v>
      </c>
      <c r="I46" s="72">
        <v>2070</v>
      </c>
      <c r="J46" s="71" t="s">
        <v>54</v>
      </c>
      <c r="K46" s="71" t="s">
        <v>237</v>
      </c>
      <c r="L46" s="71" t="s">
        <v>94</v>
      </c>
      <c r="M46" s="71" t="s">
        <v>10</v>
      </c>
    </row>
    <row r="47" spans="1:13" ht="48.75" x14ac:dyDescent="0.2">
      <c r="A47" s="69">
        <v>46054</v>
      </c>
      <c r="B47" s="74" t="s">
        <v>158</v>
      </c>
      <c r="C47" s="73" t="s">
        <v>157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237</v>
      </c>
      <c r="L47" s="71" t="s">
        <v>56</v>
      </c>
      <c r="M47" s="71" t="s">
        <v>10</v>
      </c>
    </row>
    <row r="48" spans="1:13" ht="65.25" x14ac:dyDescent="0.2">
      <c r="A48" s="69">
        <v>46054</v>
      </c>
      <c r="B48" s="74" t="s">
        <v>171</v>
      </c>
      <c r="C48" s="73" t="s">
        <v>127</v>
      </c>
      <c r="D48" s="71" t="s">
        <v>9</v>
      </c>
      <c r="E48" s="71" t="s">
        <v>80</v>
      </c>
      <c r="F48" s="71" t="s">
        <v>239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237</v>
      </c>
      <c r="L48" s="71" t="s">
        <v>56</v>
      </c>
      <c r="M48" s="71" t="s">
        <v>10</v>
      </c>
    </row>
    <row r="49" spans="1:13" x14ac:dyDescent="0.2">
      <c r="A49" s="69">
        <v>46055</v>
      </c>
      <c r="B49" s="74" t="s">
        <v>169</v>
      </c>
      <c r="C49" s="71" t="s">
        <v>168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237</v>
      </c>
      <c r="L49" s="71" t="s">
        <v>62</v>
      </c>
      <c r="M49" s="71" t="s">
        <v>10</v>
      </c>
    </row>
    <row r="50" spans="1:13" ht="65.25" x14ac:dyDescent="0.2">
      <c r="A50" s="69">
        <v>46056</v>
      </c>
      <c r="B50" s="74" t="s">
        <v>170</v>
      </c>
      <c r="C50" s="73" t="s">
        <v>127</v>
      </c>
      <c r="D50" s="71" t="s">
        <v>9</v>
      </c>
      <c r="E50" s="71" t="s">
        <v>80</v>
      </c>
      <c r="F50" s="71" t="s">
        <v>239</v>
      </c>
      <c r="G50" s="71" t="s">
        <v>241</v>
      </c>
      <c r="H50" s="71" t="s">
        <v>93</v>
      </c>
      <c r="I50" s="72">
        <v>2318</v>
      </c>
      <c r="J50" s="71" t="s">
        <v>54</v>
      </c>
      <c r="K50" s="71" t="s">
        <v>237</v>
      </c>
      <c r="L50" s="71" t="s">
        <v>56</v>
      </c>
      <c r="M50" s="71" t="s">
        <v>10</v>
      </c>
    </row>
    <row r="51" spans="1:13" x14ac:dyDescent="0.2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237</v>
      </c>
      <c r="L51" s="71"/>
      <c r="M51" s="71" t="s">
        <v>10</v>
      </c>
    </row>
    <row r="52" spans="1:13" x14ac:dyDescent="0.2">
      <c r="A52" s="69">
        <v>46060</v>
      </c>
      <c r="B52" s="74" t="s">
        <v>174</v>
      </c>
      <c r="C52" s="73" t="s">
        <v>175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237</v>
      </c>
      <c r="L52" s="71" t="s">
        <v>176</v>
      </c>
      <c r="M52" s="71" t="s">
        <v>10</v>
      </c>
    </row>
    <row r="53" spans="1:13" x14ac:dyDescent="0.2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237</v>
      </c>
      <c r="L53" s="71" t="s">
        <v>179</v>
      </c>
      <c r="M53" s="71" t="s">
        <v>10</v>
      </c>
    </row>
    <row r="54" spans="1:13" x14ac:dyDescent="0.2">
      <c r="A54" s="69">
        <v>46063</v>
      </c>
      <c r="B54" s="74" t="s">
        <v>233</v>
      </c>
      <c r="C54" s="71" t="s">
        <v>180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237</v>
      </c>
      <c r="L54" s="71" t="s">
        <v>179</v>
      </c>
      <c r="M54" s="71" t="s">
        <v>10</v>
      </c>
    </row>
    <row r="55" spans="1:13" ht="65.25" x14ac:dyDescent="0.2">
      <c r="A55" s="69">
        <v>46064</v>
      </c>
      <c r="B55" s="74" t="s">
        <v>177</v>
      </c>
      <c r="C55" s="71" t="s">
        <v>168</v>
      </c>
      <c r="D55" s="71" t="s">
        <v>9</v>
      </c>
      <c r="E55" s="71" t="s">
        <v>82</v>
      </c>
      <c r="F55" s="71" t="s">
        <v>178</v>
      </c>
      <c r="G55" s="71"/>
      <c r="H55" s="71" t="s">
        <v>93</v>
      </c>
      <c r="I55" s="72">
        <v>20500</v>
      </c>
      <c r="J55" s="71" t="s">
        <v>54</v>
      </c>
      <c r="K55" s="71" t="s">
        <v>237</v>
      </c>
      <c r="L55" s="71" t="s">
        <v>62</v>
      </c>
      <c r="M55" s="71" t="s">
        <v>10</v>
      </c>
    </row>
    <row r="56" spans="1:13" ht="48.75" x14ac:dyDescent="0.2">
      <c r="A56" s="69">
        <v>46064</v>
      </c>
      <c r="B56" s="74" t="s">
        <v>181</v>
      </c>
      <c r="C56" s="73" t="s">
        <v>238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237</v>
      </c>
      <c r="L56" s="71" t="s">
        <v>56</v>
      </c>
      <c r="M56" s="71" t="s">
        <v>10</v>
      </c>
    </row>
    <row r="57" spans="1:13" x14ac:dyDescent="0.2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237</v>
      </c>
      <c r="L57" s="71" t="s">
        <v>179</v>
      </c>
      <c r="M57" s="71" t="s">
        <v>10</v>
      </c>
    </row>
    <row r="58" spans="1:13" ht="65.25" x14ac:dyDescent="0.2">
      <c r="A58" s="69">
        <v>46065</v>
      </c>
      <c r="B58" s="74" t="s">
        <v>182</v>
      </c>
      <c r="C58" s="73" t="s">
        <v>127</v>
      </c>
      <c r="D58" s="71" t="s">
        <v>9</v>
      </c>
      <c r="E58" s="71" t="s">
        <v>80</v>
      </c>
      <c r="F58" s="71" t="s">
        <v>239</v>
      </c>
      <c r="G58" s="71" t="s">
        <v>242</v>
      </c>
      <c r="H58" s="71" t="s">
        <v>93</v>
      </c>
      <c r="I58" s="72">
        <v>5215.5</v>
      </c>
      <c r="J58" s="71" t="s">
        <v>54</v>
      </c>
      <c r="K58" s="71" t="s">
        <v>237</v>
      </c>
      <c r="L58" s="71" t="s">
        <v>56</v>
      </c>
      <c r="M58" s="71" t="s">
        <v>10</v>
      </c>
    </row>
    <row r="59" spans="1:13" x14ac:dyDescent="0.2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237</v>
      </c>
      <c r="L59" s="71" t="s">
        <v>156</v>
      </c>
      <c r="M59" s="71" t="s">
        <v>10</v>
      </c>
    </row>
    <row r="60" spans="1:13" ht="65.25" x14ac:dyDescent="0.2">
      <c r="A60" s="69">
        <v>46077</v>
      </c>
      <c r="B60" s="74" t="s">
        <v>188</v>
      </c>
      <c r="C60" s="73" t="s">
        <v>127</v>
      </c>
      <c r="D60" s="71" t="s">
        <v>9</v>
      </c>
      <c r="E60" s="71" t="s">
        <v>80</v>
      </c>
      <c r="F60" s="71" t="s">
        <v>239</v>
      </c>
      <c r="G60" s="71" t="s">
        <v>243</v>
      </c>
      <c r="H60" s="71" t="s">
        <v>93</v>
      </c>
      <c r="I60" s="72">
        <v>13038.75</v>
      </c>
      <c r="J60" s="71" t="s">
        <v>54</v>
      </c>
      <c r="K60" s="71" t="s">
        <v>237</v>
      </c>
      <c r="L60" s="71" t="s">
        <v>56</v>
      </c>
      <c r="M60" s="71" t="s">
        <v>10</v>
      </c>
    </row>
    <row r="61" spans="1:13" x14ac:dyDescent="0.2">
      <c r="A61" s="69">
        <v>46077</v>
      </c>
      <c r="B61" s="74" t="s">
        <v>193</v>
      </c>
      <c r="C61" s="71" t="s">
        <v>246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237</v>
      </c>
      <c r="L61" s="71" t="s">
        <v>179</v>
      </c>
      <c r="M61" s="71" t="s">
        <v>10</v>
      </c>
    </row>
    <row r="62" spans="1:13" x14ac:dyDescent="0.2">
      <c r="A62" s="69">
        <v>46077</v>
      </c>
      <c r="B62" s="70" t="s">
        <v>192</v>
      </c>
      <c r="C62" s="71" t="s">
        <v>189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237</v>
      </c>
      <c r="L62" s="71" t="s">
        <v>179</v>
      </c>
      <c r="M62" s="71" t="s">
        <v>10</v>
      </c>
    </row>
    <row r="63" spans="1:13" x14ac:dyDescent="0.2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237</v>
      </c>
      <c r="L63" s="71" t="s">
        <v>185</v>
      </c>
      <c r="M63" s="71" t="s">
        <v>10</v>
      </c>
    </row>
    <row r="64" spans="1:13" x14ac:dyDescent="0.2">
      <c r="A64" s="69">
        <v>46081</v>
      </c>
      <c r="B64" s="70" t="s">
        <v>194</v>
      </c>
      <c r="C64" s="71" t="s">
        <v>195</v>
      </c>
      <c r="D64" s="71" t="s">
        <v>9</v>
      </c>
      <c r="E64" s="71" t="s">
        <v>82</v>
      </c>
      <c r="F64" s="71" t="s">
        <v>126</v>
      </c>
      <c r="G64" s="71" t="s">
        <v>194</v>
      </c>
      <c r="H64" s="71" t="s">
        <v>93</v>
      </c>
      <c r="I64" s="72">
        <v>5493</v>
      </c>
      <c r="J64" s="71" t="s">
        <v>54</v>
      </c>
      <c r="K64" s="71" t="s">
        <v>237</v>
      </c>
      <c r="L64" s="71" t="s">
        <v>56</v>
      </c>
      <c r="M64" s="71" t="s">
        <v>10</v>
      </c>
    </row>
    <row r="65" spans="1:13" x14ac:dyDescent="0.2">
      <c r="A65" s="69">
        <v>46083</v>
      </c>
      <c r="B65" s="70" t="s">
        <v>140</v>
      </c>
      <c r="C65" s="71" t="s">
        <v>197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237</v>
      </c>
      <c r="L65" s="71" t="s">
        <v>179</v>
      </c>
      <c r="M65" s="71" t="s">
        <v>10</v>
      </c>
    </row>
    <row r="66" spans="1:13" s="75" customFormat="1" x14ac:dyDescent="0.2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237</v>
      </c>
      <c r="L66" s="71" t="s">
        <v>179</v>
      </c>
      <c r="M66" s="71" t="s">
        <v>10</v>
      </c>
    </row>
    <row r="67" spans="1:13" x14ac:dyDescent="0.2">
      <c r="A67" s="69">
        <v>46085</v>
      </c>
      <c r="B67" s="70" t="s">
        <v>196</v>
      </c>
      <c r="C67" s="71" t="s">
        <v>197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237</v>
      </c>
      <c r="L67" s="71" t="s">
        <v>179</v>
      </c>
      <c r="M67" s="71" t="s">
        <v>10</v>
      </c>
    </row>
    <row r="68" spans="1:13" ht="48.75" x14ac:dyDescent="0.2">
      <c r="A68" s="69">
        <v>46092</v>
      </c>
      <c r="B68" s="74" t="s">
        <v>198</v>
      </c>
      <c r="C68" s="71" t="s">
        <v>168</v>
      </c>
      <c r="D68" s="71" t="s">
        <v>9</v>
      </c>
      <c r="E68" s="71" t="s">
        <v>82</v>
      </c>
      <c r="F68" s="71" t="s">
        <v>178</v>
      </c>
      <c r="G68" s="71"/>
      <c r="H68" s="71" t="s">
        <v>93</v>
      </c>
      <c r="I68" s="72">
        <v>6800</v>
      </c>
      <c r="J68" s="71" t="s">
        <v>54</v>
      </c>
      <c r="K68" s="71" t="s">
        <v>237</v>
      </c>
      <c r="L68" s="71" t="s">
        <v>62</v>
      </c>
      <c r="M68" s="71" t="s">
        <v>10</v>
      </c>
    </row>
    <row r="69" spans="1:13" s="75" customFormat="1" x14ac:dyDescent="0.2">
      <c r="A69" s="69">
        <v>46092</v>
      </c>
      <c r="B69" s="74" t="s">
        <v>206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234</v>
      </c>
      <c r="H69" s="71" t="s">
        <v>93</v>
      </c>
      <c r="I69" s="72">
        <v>1680</v>
      </c>
      <c r="J69" s="71" t="s">
        <v>54</v>
      </c>
      <c r="K69" s="71" t="s">
        <v>237</v>
      </c>
      <c r="L69" s="71" t="s">
        <v>179</v>
      </c>
      <c r="M69" s="71" t="s">
        <v>10</v>
      </c>
    </row>
    <row r="70" spans="1:13" s="75" customFormat="1" x14ac:dyDescent="0.2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237</v>
      </c>
      <c r="L70" s="71" t="s">
        <v>179</v>
      </c>
      <c r="M70" s="71" t="s">
        <v>10</v>
      </c>
    </row>
    <row r="71" spans="1:13" x14ac:dyDescent="0.2">
      <c r="A71" s="69">
        <v>46093</v>
      </c>
      <c r="B71" s="74" t="s">
        <v>200</v>
      </c>
      <c r="C71" s="73" t="s">
        <v>238</v>
      </c>
      <c r="D71" s="71" t="s">
        <v>9</v>
      </c>
      <c r="E71" s="71" t="s">
        <v>82</v>
      </c>
      <c r="F71" s="71" t="s">
        <v>199</v>
      </c>
      <c r="G71" s="71" t="s">
        <v>199</v>
      </c>
      <c r="H71" s="71" t="s">
        <v>93</v>
      </c>
      <c r="I71" s="72">
        <v>3100</v>
      </c>
      <c r="J71" s="71" t="s">
        <v>54</v>
      </c>
      <c r="K71" s="71" t="s">
        <v>237</v>
      </c>
      <c r="L71" s="71" t="s">
        <v>56</v>
      </c>
      <c r="M71" s="71" t="s">
        <v>10</v>
      </c>
    </row>
    <row r="72" spans="1:13" x14ac:dyDescent="0.2">
      <c r="A72" s="69">
        <v>46098</v>
      </c>
      <c r="B72" s="74" t="s">
        <v>203</v>
      </c>
      <c r="C72" s="73" t="s">
        <v>202</v>
      </c>
      <c r="D72" s="71" t="s">
        <v>9</v>
      </c>
      <c r="E72" s="71" t="s">
        <v>82</v>
      </c>
      <c r="F72" s="71" t="s">
        <v>126</v>
      </c>
      <c r="G72" s="71" t="s">
        <v>204</v>
      </c>
      <c r="H72" s="71" t="s">
        <v>93</v>
      </c>
      <c r="I72" s="72">
        <v>325</v>
      </c>
      <c r="J72" s="71" t="s">
        <v>205</v>
      </c>
      <c r="K72" s="71" t="s">
        <v>237</v>
      </c>
      <c r="L72" s="71" t="s">
        <v>56</v>
      </c>
      <c r="M72" s="71" t="s">
        <v>10</v>
      </c>
    </row>
    <row r="73" spans="1:13" ht="48.75" x14ac:dyDescent="0.2">
      <c r="A73" s="69">
        <v>46099</v>
      </c>
      <c r="B73" s="74" t="s">
        <v>207</v>
      </c>
      <c r="C73" s="73" t="s">
        <v>127</v>
      </c>
      <c r="D73" s="71" t="s">
        <v>9</v>
      </c>
      <c r="E73" s="71" t="s">
        <v>80</v>
      </c>
      <c r="F73" s="71" t="s">
        <v>239</v>
      </c>
      <c r="G73" s="71" t="s">
        <v>208</v>
      </c>
      <c r="H73" s="71" t="s">
        <v>93</v>
      </c>
      <c r="I73" s="72">
        <v>8113</v>
      </c>
      <c r="J73" s="71" t="s">
        <v>54</v>
      </c>
      <c r="K73" s="71" t="s">
        <v>237</v>
      </c>
      <c r="L73" s="71" t="s">
        <v>56</v>
      </c>
      <c r="M73" s="71" t="s">
        <v>10</v>
      </c>
    </row>
    <row r="74" spans="1:13" x14ac:dyDescent="0.2">
      <c r="A74" s="69">
        <v>46105</v>
      </c>
      <c r="B74" s="74" t="s">
        <v>210</v>
      </c>
      <c r="C74" s="73" t="s">
        <v>238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237</v>
      </c>
      <c r="L74" s="71" t="s">
        <v>56</v>
      </c>
      <c r="M74" s="71" t="s">
        <v>10</v>
      </c>
    </row>
    <row r="75" spans="1:13" ht="33" x14ac:dyDescent="0.2">
      <c r="A75" s="69">
        <v>46109</v>
      </c>
      <c r="B75" s="74" t="s">
        <v>213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237</v>
      </c>
      <c r="L75" s="71" t="s">
        <v>212</v>
      </c>
      <c r="M75" s="71" t="s">
        <v>10</v>
      </c>
    </row>
    <row r="76" spans="1:13" x14ac:dyDescent="0.2">
      <c r="A76" s="69">
        <v>46114</v>
      </c>
      <c r="B76" s="74" t="s">
        <v>214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237</v>
      </c>
      <c r="L76" s="71" t="s">
        <v>179</v>
      </c>
      <c r="M76" s="71" t="s">
        <v>10</v>
      </c>
    </row>
    <row r="77" spans="1:13" x14ac:dyDescent="0.2">
      <c r="A77" s="69">
        <v>46117</v>
      </c>
      <c r="B77" s="70" t="s">
        <v>215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237</v>
      </c>
      <c r="L77" s="71" t="s">
        <v>61</v>
      </c>
      <c r="M77" s="71" t="s">
        <v>10</v>
      </c>
    </row>
    <row r="78" spans="1:13" ht="81" x14ac:dyDescent="0.2">
      <c r="A78" s="69">
        <v>46117</v>
      </c>
      <c r="B78" s="74" t="s">
        <v>221</v>
      </c>
      <c r="C78" s="73" t="s">
        <v>217</v>
      </c>
      <c r="D78" s="71" t="s">
        <v>9</v>
      </c>
      <c r="E78" s="71" t="s">
        <v>82</v>
      </c>
      <c r="F78" s="71" t="s">
        <v>232</v>
      </c>
      <c r="G78" s="71"/>
      <c r="H78" s="71" t="s">
        <v>93</v>
      </c>
      <c r="I78" s="72">
        <v>9717.5</v>
      </c>
      <c r="J78" s="71" t="s">
        <v>54</v>
      </c>
      <c r="K78" s="71" t="s">
        <v>237</v>
      </c>
      <c r="L78" s="71" t="s">
        <v>156</v>
      </c>
      <c r="M78" s="71" t="s">
        <v>10</v>
      </c>
    </row>
    <row r="79" spans="1:13" ht="33" x14ac:dyDescent="0.2">
      <c r="A79" s="69">
        <v>46118</v>
      </c>
      <c r="B79" s="74" t="s">
        <v>216</v>
      </c>
      <c r="C79" s="73" t="s">
        <v>218</v>
      </c>
      <c r="D79" s="71" t="s">
        <v>9</v>
      </c>
      <c r="E79" s="71" t="s">
        <v>82</v>
      </c>
      <c r="F79" s="71" t="s">
        <v>126</v>
      </c>
      <c r="G79" s="71" t="s">
        <v>235</v>
      </c>
      <c r="H79" s="71" t="s">
        <v>93</v>
      </c>
      <c r="I79" s="72">
        <v>3542</v>
      </c>
      <c r="J79" s="71" t="s">
        <v>54</v>
      </c>
      <c r="K79" s="71" t="s">
        <v>237</v>
      </c>
      <c r="L79" s="71" t="s">
        <v>156</v>
      </c>
      <c r="M79" s="71" t="s">
        <v>10</v>
      </c>
    </row>
    <row r="80" spans="1:13" s="75" customFormat="1" ht="65.25" x14ac:dyDescent="0.2">
      <c r="A80" s="69">
        <v>46120</v>
      </c>
      <c r="B80" s="74" t="s">
        <v>219</v>
      </c>
      <c r="C80" s="73" t="s">
        <v>127</v>
      </c>
      <c r="D80" s="71" t="s">
        <v>9</v>
      </c>
      <c r="E80" s="71" t="s">
        <v>80</v>
      </c>
      <c r="F80" s="71" t="s">
        <v>239</v>
      </c>
      <c r="G80" s="71" t="s">
        <v>220</v>
      </c>
      <c r="H80" s="71" t="s">
        <v>93</v>
      </c>
      <c r="I80" s="72">
        <v>5215.5</v>
      </c>
      <c r="J80" s="71" t="s">
        <v>54</v>
      </c>
      <c r="K80" s="71" t="s">
        <v>237</v>
      </c>
      <c r="L80" s="71" t="s">
        <v>56</v>
      </c>
      <c r="M80" s="71" t="s">
        <v>10</v>
      </c>
    </row>
    <row r="81" spans="1:13" ht="48.75" x14ac:dyDescent="0.2">
      <c r="A81" s="69">
        <v>46120</v>
      </c>
      <c r="B81" s="74" t="s">
        <v>222</v>
      </c>
      <c r="C81" s="71" t="s">
        <v>223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237</v>
      </c>
      <c r="L81" s="71" t="s">
        <v>176</v>
      </c>
      <c r="M81" s="71" t="s">
        <v>10</v>
      </c>
    </row>
    <row r="82" spans="1:13" s="75" customFormat="1" x14ac:dyDescent="0.2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237</v>
      </c>
      <c r="L82" s="71" t="s">
        <v>224</v>
      </c>
      <c r="M82" s="71" t="s">
        <v>10</v>
      </c>
    </row>
    <row r="83" spans="1:13" x14ac:dyDescent="0.2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237</v>
      </c>
      <c r="L83" s="71" t="s">
        <v>224</v>
      </c>
      <c r="M83" s="71" t="s">
        <v>10</v>
      </c>
    </row>
    <row r="84" spans="1:13" x14ac:dyDescent="0.2">
      <c r="A84" s="69">
        <v>46125</v>
      </c>
      <c r="B84" s="70" t="s">
        <v>225</v>
      </c>
      <c r="C84" s="71" t="s">
        <v>168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237</v>
      </c>
      <c r="L84" s="71" t="s">
        <v>62</v>
      </c>
      <c r="M84" s="71" t="s">
        <v>10</v>
      </c>
    </row>
    <row r="85" spans="1:13" x14ac:dyDescent="0.2">
      <c r="A85" s="69">
        <v>46126</v>
      </c>
      <c r="B85" s="70" t="s">
        <v>226</v>
      </c>
      <c r="C85" s="71" t="s">
        <v>195</v>
      </c>
      <c r="D85" s="71" t="s">
        <v>9</v>
      </c>
      <c r="E85" s="71" t="s">
        <v>82</v>
      </c>
      <c r="F85" s="71" t="s">
        <v>126</v>
      </c>
      <c r="G85" s="71" t="s">
        <v>194</v>
      </c>
      <c r="H85" s="71" t="s">
        <v>93</v>
      </c>
      <c r="I85" s="72">
        <v>5115</v>
      </c>
      <c r="J85" s="71" t="s">
        <v>54</v>
      </c>
      <c r="K85" s="71" t="s">
        <v>237</v>
      </c>
      <c r="L85" s="71" t="s">
        <v>56</v>
      </c>
      <c r="M85" s="71" t="s">
        <v>10</v>
      </c>
    </row>
    <row r="86" spans="1:13" ht="48.75" x14ac:dyDescent="0.2">
      <c r="A86" s="69">
        <v>46127</v>
      </c>
      <c r="B86" s="74" t="s">
        <v>227</v>
      </c>
      <c r="C86" s="73" t="s">
        <v>217</v>
      </c>
      <c r="D86" s="71" t="s">
        <v>9</v>
      </c>
      <c r="E86" s="71" t="s">
        <v>82</v>
      </c>
      <c r="F86" s="71" t="s">
        <v>232</v>
      </c>
      <c r="G86" s="71"/>
      <c r="H86" s="71" t="s">
        <v>93</v>
      </c>
      <c r="I86" s="72">
        <v>2443.75</v>
      </c>
      <c r="J86" s="71" t="s">
        <v>54</v>
      </c>
      <c r="K86" s="71" t="s">
        <v>237</v>
      </c>
      <c r="L86" s="71" t="s">
        <v>156</v>
      </c>
      <c r="M86" s="71" t="s">
        <v>10</v>
      </c>
    </row>
    <row r="87" spans="1:13" ht="33" x14ac:dyDescent="0.2">
      <c r="A87" s="69">
        <v>46131</v>
      </c>
      <c r="B87" s="74" t="s">
        <v>231</v>
      </c>
      <c r="C87" s="73" t="s">
        <v>218</v>
      </c>
      <c r="D87" s="71" t="s">
        <v>9</v>
      </c>
      <c r="E87" s="71" t="s">
        <v>82</v>
      </c>
      <c r="F87" s="71" t="s">
        <v>126</v>
      </c>
      <c r="G87" s="71" t="s">
        <v>235</v>
      </c>
      <c r="H87" s="71" t="s">
        <v>93</v>
      </c>
      <c r="I87" s="72">
        <v>2656.5</v>
      </c>
      <c r="J87" s="71" t="s">
        <v>54</v>
      </c>
      <c r="K87" s="71" t="s">
        <v>237</v>
      </c>
      <c r="L87" s="71" t="s">
        <v>156</v>
      </c>
      <c r="M87" s="71" t="s">
        <v>10</v>
      </c>
    </row>
    <row r="88" spans="1:13" x14ac:dyDescent="0.2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237</v>
      </c>
      <c r="L88" s="71" t="s">
        <v>179</v>
      </c>
      <c r="M88" s="71" t="s">
        <v>10</v>
      </c>
    </row>
    <row r="89" spans="1:13" ht="65.25" x14ac:dyDescent="0.2">
      <c r="A89" s="69">
        <v>46132</v>
      </c>
      <c r="B89" s="74" t="s">
        <v>248</v>
      </c>
      <c r="C89" s="73" t="s">
        <v>217</v>
      </c>
      <c r="D89" s="71" t="s">
        <v>9</v>
      </c>
      <c r="E89" s="71" t="s">
        <v>82</v>
      </c>
      <c r="F89" s="71" t="s">
        <v>232</v>
      </c>
      <c r="G89" s="71"/>
      <c r="H89" s="71" t="s">
        <v>93</v>
      </c>
      <c r="I89" s="72">
        <v>2875</v>
      </c>
      <c r="J89" s="71" t="s">
        <v>54</v>
      </c>
      <c r="K89" s="71" t="s">
        <v>237</v>
      </c>
      <c r="L89" s="71" t="s">
        <v>156</v>
      </c>
      <c r="M89" s="71" t="s">
        <v>10</v>
      </c>
    </row>
    <row r="90" spans="1:13" ht="216" customHeight="1" x14ac:dyDescent="0.2">
      <c r="A90" s="69">
        <v>46121</v>
      </c>
      <c r="B90" s="77" t="s">
        <v>249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187</v>
      </c>
      <c r="K90" s="71" t="s">
        <v>237</v>
      </c>
      <c r="L90" s="71" t="s">
        <v>187</v>
      </c>
      <c r="M90" s="71" t="s">
        <v>10</v>
      </c>
    </row>
    <row r="91" spans="1:13" ht="215.45" customHeight="1" x14ac:dyDescent="0.2">
      <c r="A91" s="69">
        <v>46137</v>
      </c>
      <c r="B91" s="77" t="s">
        <v>250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187</v>
      </c>
      <c r="K91" s="71" t="s">
        <v>237</v>
      </c>
      <c r="L91" s="71" t="s">
        <v>187</v>
      </c>
      <c r="M91" s="71" t="s">
        <v>10</v>
      </c>
    </row>
    <row r="92" spans="1:13" x14ac:dyDescent="0.2">
      <c r="A92" s="69">
        <v>46139</v>
      </c>
      <c r="B92" s="74" t="s">
        <v>251</v>
      </c>
      <c r="C92" s="71" t="s">
        <v>168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237</v>
      </c>
      <c r="L92" s="71" t="s">
        <v>62</v>
      </c>
      <c r="M92" s="71" t="s">
        <v>10</v>
      </c>
    </row>
    <row r="93" spans="1:13" x14ac:dyDescent="0.2">
      <c r="A93" s="69">
        <v>46140</v>
      </c>
      <c r="B93" s="74" t="s">
        <v>252</v>
      </c>
      <c r="C93" s="71" t="s">
        <v>253</v>
      </c>
      <c r="D93" s="71" t="s">
        <v>9</v>
      </c>
      <c r="E93" s="71" t="s">
        <v>82</v>
      </c>
      <c r="F93" s="71" t="s">
        <v>232</v>
      </c>
      <c r="G93" s="71" t="s">
        <v>232</v>
      </c>
      <c r="H93" s="71" t="s">
        <v>93</v>
      </c>
      <c r="I93" s="72">
        <v>200</v>
      </c>
      <c r="J93" s="71" t="s">
        <v>54</v>
      </c>
      <c r="K93" s="71" t="s">
        <v>237</v>
      </c>
      <c r="L93" s="71" t="s">
        <v>62</v>
      </c>
      <c r="M93" s="71" t="s">
        <v>10</v>
      </c>
    </row>
    <row r="94" spans="1:13" ht="65.25" x14ac:dyDescent="0.2">
      <c r="A94" s="69">
        <v>46145</v>
      </c>
      <c r="B94" s="74" t="s">
        <v>254</v>
      </c>
      <c r="C94" s="73" t="s">
        <v>217</v>
      </c>
      <c r="D94" s="71" t="s">
        <v>9</v>
      </c>
      <c r="E94" s="71" t="s">
        <v>82</v>
      </c>
      <c r="F94" s="71" t="s">
        <v>232</v>
      </c>
      <c r="G94" s="71"/>
      <c r="H94" s="71" t="s">
        <v>93</v>
      </c>
      <c r="I94" s="72">
        <v>2478.25</v>
      </c>
      <c r="J94" s="71" t="s">
        <v>54</v>
      </c>
      <c r="K94" s="71" t="s">
        <v>237</v>
      </c>
      <c r="L94" s="71" t="s">
        <v>156</v>
      </c>
      <c r="M94" s="71" t="s">
        <v>10</v>
      </c>
    </row>
    <row r="95" spans="1:13" s="75" customFormat="1" ht="65.25" x14ac:dyDescent="0.2">
      <c r="A95" s="69">
        <v>46145</v>
      </c>
      <c r="B95" s="74" t="s">
        <v>257</v>
      </c>
      <c r="C95" s="73" t="s">
        <v>127</v>
      </c>
      <c r="D95" s="71" t="s">
        <v>9</v>
      </c>
      <c r="E95" s="71" t="s">
        <v>80</v>
      </c>
      <c r="F95" s="71" t="s">
        <v>239</v>
      </c>
      <c r="G95" s="71" t="s">
        <v>220</v>
      </c>
      <c r="H95" s="71" t="s">
        <v>93</v>
      </c>
      <c r="I95" s="72">
        <v>2897.5</v>
      </c>
      <c r="J95" s="71" t="s">
        <v>54</v>
      </c>
      <c r="K95" s="71" t="s">
        <v>237</v>
      </c>
      <c r="L95" s="71" t="s">
        <v>56</v>
      </c>
      <c r="M95" s="71" t="s">
        <v>10</v>
      </c>
    </row>
    <row r="96" spans="1:13" s="75" customFormat="1" ht="65.25" x14ac:dyDescent="0.2">
      <c r="A96" s="69">
        <v>46152</v>
      </c>
      <c r="B96" s="74" t="s">
        <v>259</v>
      </c>
      <c r="C96" s="73" t="s">
        <v>127</v>
      </c>
      <c r="D96" s="71" t="s">
        <v>9</v>
      </c>
      <c r="E96" s="71" t="s">
        <v>80</v>
      </c>
      <c r="F96" s="71" t="s">
        <v>239</v>
      </c>
      <c r="G96" s="71" t="s">
        <v>220</v>
      </c>
      <c r="H96" s="71" t="s">
        <v>93</v>
      </c>
      <c r="I96" s="72">
        <v>1738.5</v>
      </c>
      <c r="J96" s="71" t="s">
        <v>54</v>
      </c>
      <c r="K96" s="71" t="s">
        <v>237</v>
      </c>
      <c r="L96" s="71" t="s">
        <v>56</v>
      </c>
      <c r="M96" s="71" t="s">
        <v>10</v>
      </c>
    </row>
    <row r="97" spans="1:13" s="36" customFormat="1" x14ac:dyDescent="0.2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237</v>
      </c>
      <c r="L97" s="57"/>
      <c r="M97" s="57"/>
    </row>
    <row r="98" spans="1:13" ht="65.25" x14ac:dyDescent="0.2">
      <c r="A98" s="69">
        <v>46155</v>
      </c>
      <c r="B98" s="74" t="s">
        <v>254</v>
      </c>
      <c r="C98" s="73" t="s">
        <v>217</v>
      </c>
      <c r="D98" s="71" t="s">
        <v>9</v>
      </c>
      <c r="E98" s="71" t="s">
        <v>82</v>
      </c>
      <c r="F98" s="71" t="s">
        <v>232</v>
      </c>
      <c r="G98" s="71"/>
      <c r="H98" s="71" t="s">
        <v>93</v>
      </c>
      <c r="I98" s="72">
        <v>2478.25</v>
      </c>
      <c r="J98" s="71" t="s">
        <v>54</v>
      </c>
      <c r="K98" s="71" t="s">
        <v>237</v>
      </c>
      <c r="L98" s="71" t="s">
        <v>156</v>
      </c>
      <c r="M98" s="71" t="s">
        <v>10</v>
      </c>
    </row>
    <row r="99" spans="1:13" x14ac:dyDescent="0.2">
      <c r="A99" s="69">
        <v>46155</v>
      </c>
      <c r="B99" s="74" t="s">
        <v>265</v>
      </c>
      <c r="C99" s="71" t="s">
        <v>168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237</v>
      </c>
      <c r="L99" s="71" t="s">
        <v>62</v>
      </c>
      <c r="M99" s="71" t="s">
        <v>10</v>
      </c>
    </row>
    <row r="100" spans="1:13" x14ac:dyDescent="0.2">
      <c r="A100" s="69">
        <v>46155</v>
      </c>
      <c r="B100" s="74" t="s">
        <v>266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237</v>
      </c>
      <c r="L100" s="71" t="s">
        <v>179</v>
      </c>
      <c r="M100" s="71" t="s">
        <v>10</v>
      </c>
    </row>
    <row r="101" spans="1:13" ht="129.75" x14ac:dyDescent="0.2">
      <c r="A101" s="69">
        <v>46161</v>
      </c>
      <c r="B101" s="74" t="s">
        <v>267</v>
      </c>
      <c r="C101" s="73" t="s">
        <v>238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237</v>
      </c>
      <c r="L101" s="71" t="s">
        <v>56</v>
      </c>
      <c r="M101" s="71" t="s">
        <v>10</v>
      </c>
    </row>
    <row r="102" spans="1:13" x14ac:dyDescent="0.2">
      <c r="A102" s="69">
        <v>46173</v>
      </c>
      <c r="B102" s="74" t="s">
        <v>268</v>
      </c>
      <c r="C102" s="73" t="s">
        <v>238</v>
      </c>
      <c r="D102" s="71" t="s">
        <v>9</v>
      </c>
      <c r="E102" s="71" t="s">
        <v>82</v>
      </c>
      <c r="F102" s="71" t="s">
        <v>199</v>
      </c>
      <c r="G102" s="71" t="s">
        <v>199</v>
      </c>
      <c r="H102" s="71" t="s">
        <v>93</v>
      </c>
      <c r="I102" s="72">
        <v>2550</v>
      </c>
      <c r="J102" s="71" t="s">
        <v>54</v>
      </c>
      <c r="K102" s="71" t="s">
        <v>237</v>
      </c>
      <c r="L102" s="71" t="s">
        <v>56</v>
      </c>
      <c r="M102" s="71" t="s">
        <v>10</v>
      </c>
    </row>
    <row r="103" spans="1:13" ht="48.75" x14ac:dyDescent="0.2">
      <c r="A103" s="69">
        <v>46173</v>
      </c>
      <c r="B103" s="74" t="s">
        <v>269</v>
      </c>
      <c r="C103" s="73" t="s">
        <v>218</v>
      </c>
      <c r="D103" s="71" t="s">
        <v>9</v>
      </c>
      <c r="E103" s="71" t="s">
        <v>82</v>
      </c>
      <c r="F103" s="71" t="s">
        <v>126</v>
      </c>
      <c r="G103" s="71" t="s">
        <v>235</v>
      </c>
      <c r="H103" s="71" t="s">
        <v>93</v>
      </c>
      <c r="I103" s="72">
        <v>9775.92</v>
      </c>
      <c r="J103" s="71" t="s">
        <v>54</v>
      </c>
      <c r="K103" s="71" t="s">
        <v>237</v>
      </c>
      <c r="L103" s="71" t="s">
        <v>156</v>
      </c>
      <c r="M103" s="71" t="s">
        <v>10</v>
      </c>
    </row>
    <row r="104" spans="1:13" x14ac:dyDescent="0.2">
      <c r="A104" s="69">
        <v>46179</v>
      </c>
      <c r="B104" s="74" t="s">
        <v>270</v>
      </c>
      <c r="C104" s="71" t="s">
        <v>168</v>
      </c>
      <c r="D104" s="71" t="s">
        <v>9</v>
      </c>
      <c r="E104" s="71" t="s">
        <v>271</v>
      </c>
      <c r="F104" s="71" t="s">
        <v>271</v>
      </c>
      <c r="G104" s="71" t="s">
        <v>271</v>
      </c>
      <c r="H104" s="71" t="s">
        <v>271</v>
      </c>
      <c r="I104" s="72">
        <v>150</v>
      </c>
      <c r="J104" s="71" t="s">
        <v>54</v>
      </c>
      <c r="K104" s="71" t="s">
        <v>237</v>
      </c>
      <c r="L104" s="71" t="s">
        <v>62</v>
      </c>
      <c r="M104" s="71" t="s">
        <v>10</v>
      </c>
    </row>
    <row r="105" spans="1:13" x14ac:dyDescent="0.2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237</v>
      </c>
      <c r="L105" s="71" t="s">
        <v>156</v>
      </c>
      <c r="M105" s="71" t="s">
        <v>10</v>
      </c>
    </row>
    <row r="106" spans="1:13" s="75" customFormat="1" ht="65.25" x14ac:dyDescent="0.2">
      <c r="A106" s="69">
        <v>46181</v>
      </c>
      <c r="B106" s="74" t="s">
        <v>278</v>
      </c>
      <c r="C106" s="73" t="s">
        <v>127</v>
      </c>
      <c r="D106" s="71" t="s">
        <v>9</v>
      </c>
      <c r="E106" s="71" t="s">
        <v>80</v>
      </c>
      <c r="F106" s="71" t="s">
        <v>239</v>
      </c>
      <c r="G106" s="71" t="s">
        <v>273</v>
      </c>
      <c r="H106" s="71" t="s">
        <v>93</v>
      </c>
      <c r="I106" s="72">
        <v>27816</v>
      </c>
      <c r="J106" s="71" t="s">
        <v>54</v>
      </c>
      <c r="K106" s="71" t="s">
        <v>237</v>
      </c>
      <c r="L106" s="71" t="s">
        <v>56</v>
      </c>
      <c r="M106" s="71" t="s">
        <v>10</v>
      </c>
    </row>
    <row r="107" spans="1:13" s="75" customFormat="1" ht="48.75" x14ac:dyDescent="0.2">
      <c r="A107" s="69">
        <v>46181</v>
      </c>
      <c r="B107" s="74" t="s">
        <v>277</v>
      </c>
      <c r="C107" s="73" t="s">
        <v>127</v>
      </c>
      <c r="D107" s="71" t="s">
        <v>9</v>
      </c>
      <c r="E107" s="71" t="s">
        <v>80</v>
      </c>
      <c r="F107" s="71" t="s">
        <v>239</v>
      </c>
      <c r="G107" s="71" t="s">
        <v>273</v>
      </c>
      <c r="H107" s="71" t="s">
        <v>93</v>
      </c>
      <c r="I107" s="72">
        <v>552</v>
      </c>
      <c r="J107" s="71" t="s">
        <v>54</v>
      </c>
      <c r="K107" s="71" t="s">
        <v>237</v>
      </c>
      <c r="L107" s="71" t="s">
        <v>56</v>
      </c>
      <c r="M107" s="71" t="s">
        <v>10</v>
      </c>
    </row>
    <row r="108" spans="1:13" ht="48.75" x14ac:dyDescent="0.2">
      <c r="A108" s="69">
        <v>46181</v>
      </c>
      <c r="B108" s="74" t="s">
        <v>279</v>
      </c>
      <c r="C108" s="73" t="s">
        <v>238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237</v>
      </c>
      <c r="L108" s="71" t="s">
        <v>56</v>
      </c>
      <c r="M108" s="71" t="s">
        <v>10</v>
      </c>
    </row>
    <row r="109" spans="1:13" x14ac:dyDescent="0.2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237</v>
      </c>
      <c r="L109" s="71" t="s">
        <v>224</v>
      </c>
      <c r="M109" s="71" t="s">
        <v>10</v>
      </c>
    </row>
    <row r="110" spans="1:13" x14ac:dyDescent="0.2">
      <c r="A110" s="69">
        <v>46182</v>
      </c>
      <c r="B110" s="70" t="s">
        <v>280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237</v>
      </c>
      <c r="L110" s="71" t="s">
        <v>224</v>
      </c>
      <c r="M110" s="71" t="s">
        <v>10</v>
      </c>
    </row>
    <row r="111" spans="1:13" x14ac:dyDescent="0.2">
      <c r="A111" s="69">
        <v>46183</v>
      </c>
      <c r="B111" s="70" t="s">
        <v>281</v>
      </c>
      <c r="C111" s="71" t="s">
        <v>282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283</v>
      </c>
      <c r="K111" s="71" t="s">
        <v>237</v>
      </c>
      <c r="L111" s="71" t="s">
        <v>132</v>
      </c>
      <c r="M111" s="71" t="s">
        <v>10</v>
      </c>
    </row>
    <row r="112" spans="1:13" x14ac:dyDescent="0.2">
      <c r="A112" s="69">
        <v>46188</v>
      </c>
      <c r="B112" s="70" t="s">
        <v>284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237</v>
      </c>
      <c r="L112" s="71" t="s">
        <v>61</v>
      </c>
      <c r="M112" s="71" t="s">
        <v>10</v>
      </c>
    </row>
    <row r="113" spans="1:13" s="75" customFormat="1" ht="65.25" x14ac:dyDescent="0.2">
      <c r="A113" s="69">
        <v>46190</v>
      </c>
      <c r="B113" s="87" t="s">
        <v>290</v>
      </c>
      <c r="C113" s="73" t="s">
        <v>127</v>
      </c>
      <c r="D113" s="71" t="s">
        <v>9</v>
      </c>
      <c r="E113" s="71" t="s">
        <v>80</v>
      </c>
      <c r="F113" s="71" t="s">
        <v>239</v>
      </c>
      <c r="G113" s="71" t="s">
        <v>292</v>
      </c>
      <c r="H113" s="71" t="s">
        <v>93</v>
      </c>
      <c r="I113" s="88">
        <v>4056.5</v>
      </c>
      <c r="J113" s="71" t="s">
        <v>54</v>
      </c>
      <c r="K113" s="71" t="s">
        <v>237</v>
      </c>
      <c r="L113" s="71" t="s">
        <v>56</v>
      </c>
      <c r="M113" s="71" t="s">
        <v>10</v>
      </c>
    </row>
    <row r="114" spans="1:13" s="75" customFormat="1" ht="48.75" x14ac:dyDescent="0.2">
      <c r="A114" s="69">
        <v>46190</v>
      </c>
      <c r="B114" s="87" t="s">
        <v>291</v>
      </c>
      <c r="C114" s="73" t="s">
        <v>127</v>
      </c>
      <c r="D114" s="71" t="s">
        <v>9</v>
      </c>
      <c r="E114" s="71" t="s">
        <v>80</v>
      </c>
      <c r="F114" s="71" t="s">
        <v>239</v>
      </c>
      <c r="G114" s="71" t="s">
        <v>292</v>
      </c>
      <c r="H114" s="71" t="s">
        <v>93</v>
      </c>
      <c r="I114" s="88">
        <v>552</v>
      </c>
      <c r="J114" s="71" t="s">
        <v>54</v>
      </c>
      <c r="K114" s="71" t="s">
        <v>237</v>
      </c>
      <c r="L114" s="71" t="s">
        <v>56</v>
      </c>
      <c r="M114" s="71" t="s">
        <v>10</v>
      </c>
    </row>
    <row r="115" spans="1:13" s="36" customFormat="1" x14ac:dyDescent="0.2">
      <c r="A115" s="56">
        <v>46191</v>
      </c>
      <c r="B115" s="59" t="s">
        <v>103</v>
      </c>
      <c r="C115" s="57" t="s">
        <v>28</v>
      </c>
      <c r="D115" s="71" t="s">
        <v>9</v>
      </c>
      <c r="E115" s="57" t="s">
        <v>73</v>
      </c>
      <c r="F115" s="57" t="s">
        <v>74</v>
      </c>
      <c r="G115" s="57"/>
      <c r="H115" s="57" t="s">
        <v>93</v>
      </c>
      <c r="I115" s="55">
        <v>10000</v>
      </c>
      <c r="J115" s="57" t="s">
        <v>295</v>
      </c>
      <c r="K115" s="57" t="s">
        <v>237</v>
      </c>
      <c r="L115" s="57" t="s">
        <v>224</v>
      </c>
      <c r="M115" s="57"/>
    </row>
    <row r="116" spans="1:13" x14ac:dyDescent="0.2">
      <c r="A116" s="69"/>
      <c r="B116" s="70"/>
      <c r="C116" s="71"/>
      <c r="D116" s="71"/>
      <c r="E116" s="71"/>
      <c r="F116" s="71"/>
      <c r="G116" s="57"/>
      <c r="H116" s="71"/>
      <c r="I116" s="72"/>
      <c r="J116" s="71"/>
      <c r="K116" s="57"/>
      <c r="L116" s="71"/>
      <c r="M116" s="71"/>
    </row>
    <row r="117" spans="1:13" x14ac:dyDescent="0.2">
      <c r="A117" s="69"/>
      <c r="B117" s="70"/>
      <c r="C117" s="71"/>
      <c r="D117" s="71"/>
      <c r="E117" s="71"/>
      <c r="F117" s="71"/>
      <c r="G117" s="57"/>
      <c r="H117" s="71"/>
      <c r="I117" s="72"/>
      <c r="J117" s="71"/>
      <c r="K117" s="57"/>
      <c r="L117" s="71"/>
      <c r="M117" s="71"/>
    </row>
    <row r="118" spans="1:13" x14ac:dyDescent="0.2">
      <c r="A118" s="69"/>
      <c r="B118" s="70"/>
      <c r="C118" s="71"/>
      <c r="D118" s="71"/>
      <c r="E118" s="71"/>
      <c r="F118" s="71"/>
      <c r="G118" s="71"/>
      <c r="H118" s="71"/>
      <c r="I118" s="72"/>
      <c r="J118" s="71"/>
      <c r="K118" s="71"/>
      <c r="L118" s="71"/>
      <c r="M118" s="71"/>
    </row>
    <row r="119" spans="1:13" s="36" customFormat="1" x14ac:dyDescent="0.2">
      <c r="A119" s="28" t="s">
        <v>27</v>
      </c>
      <c r="B119" s="40" t="s">
        <v>146</v>
      </c>
      <c r="C119" s="29" t="s">
        <v>143</v>
      </c>
      <c r="D119" s="29" t="s">
        <v>27</v>
      </c>
      <c r="E119" s="29" t="s">
        <v>144</v>
      </c>
      <c r="F119" s="29" t="s">
        <v>144</v>
      </c>
      <c r="G119" s="29"/>
      <c r="H119" s="29" t="s">
        <v>93</v>
      </c>
      <c r="I119" s="30">
        <v>20700</v>
      </c>
      <c r="J119" s="29"/>
      <c r="K119" s="29" t="s">
        <v>237</v>
      </c>
      <c r="L119" s="29"/>
      <c r="M119" s="29"/>
    </row>
    <row r="120" spans="1:13" s="36" customFormat="1" x14ac:dyDescent="0.2">
      <c r="A120" s="28" t="s">
        <v>27</v>
      </c>
      <c r="B120" s="40" t="s">
        <v>147</v>
      </c>
      <c r="C120" s="29" t="s">
        <v>143</v>
      </c>
      <c r="D120" s="29" t="s">
        <v>27</v>
      </c>
      <c r="E120" s="29" t="s">
        <v>144</v>
      </c>
      <c r="F120" s="29" t="s">
        <v>144</v>
      </c>
      <c r="G120" s="29"/>
      <c r="H120" s="29" t="s">
        <v>93</v>
      </c>
      <c r="I120" s="30">
        <v>18000</v>
      </c>
      <c r="J120" s="29"/>
      <c r="K120" s="29" t="s">
        <v>237</v>
      </c>
      <c r="L120" s="29"/>
      <c r="M120" s="29"/>
    </row>
    <row r="121" spans="1:13" s="36" customFormat="1" x14ac:dyDescent="0.2">
      <c r="A121" s="28" t="s">
        <v>27</v>
      </c>
      <c r="B121" s="40" t="s">
        <v>148</v>
      </c>
      <c r="C121" s="29" t="s">
        <v>143</v>
      </c>
      <c r="D121" s="29" t="s">
        <v>27</v>
      </c>
      <c r="E121" s="29" t="s">
        <v>144</v>
      </c>
      <c r="F121" s="29" t="s">
        <v>144</v>
      </c>
      <c r="G121" s="29"/>
      <c r="H121" s="29" t="s">
        <v>93</v>
      </c>
      <c r="I121" s="30">
        <v>5150</v>
      </c>
      <c r="J121" s="29"/>
      <c r="K121" s="29" t="s">
        <v>237</v>
      </c>
      <c r="L121" s="29"/>
      <c r="M121" s="29"/>
    </row>
    <row r="122" spans="1:13" s="36" customFormat="1" x14ac:dyDescent="0.2">
      <c r="A122" s="28" t="s">
        <v>27</v>
      </c>
      <c r="B122" s="60" t="s">
        <v>88</v>
      </c>
      <c r="C122" s="29" t="s">
        <v>26</v>
      </c>
      <c r="D122" s="29" t="s">
        <v>27</v>
      </c>
      <c r="E122" s="29" t="s">
        <v>78</v>
      </c>
      <c r="F122" s="29" t="s">
        <v>110</v>
      </c>
      <c r="G122" s="29"/>
      <c r="H122" s="29" t="s">
        <v>93</v>
      </c>
      <c r="I122" s="30">
        <v>4025</v>
      </c>
      <c r="J122" s="29"/>
      <c r="K122" s="29" t="s">
        <v>237</v>
      </c>
      <c r="L122" s="29"/>
      <c r="M122" s="29"/>
    </row>
    <row r="123" spans="1:13" s="36" customFormat="1" x14ac:dyDescent="0.2">
      <c r="A123" s="28" t="s">
        <v>27</v>
      </c>
      <c r="B123" s="60" t="s">
        <v>89</v>
      </c>
      <c r="C123" s="29" t="s">
        <v>26</v>
      </c>
      <c r="D123" s="29" t="s">
        <v>27</v>
      </c>
      <c r="E123" s="29" t="s">
        <v>78</v>
      </c>
      <c r="F123" s="29" t="s">
        <v>110</v>
      </c>
      <c r="G123" s="29"/>
      <c r="H123" s="29" t="s">
        <v>93</v>
      </c>
      <c r="I123" s="30">
        <v>2300</v>
      </c>
      <c r="J123" s="29"/>
      <c r="K123" s="29" t="s">
        <v>237</v>
      </c>
      <c r="L123" s="29"/>
      <c r="M123" s="29"/>
    </row>
    <row r="124" spans="1:13" s="36" customFormat="1" x14ac:dyDescent="0.2">
      <c r="A124" s="28" t="s">
        <v>27</v>
      </c>
      <c r="B124" s="60" t="s">
        <v>104</v>
      </c>
      <c r="C124" s="29" t="s">
        <v>28</v>
      </c>
      <c r="D124" s="29" t="s">
        <v>27</v>
      </c>
      <c r="E124" s="29" t="s">
        <v>73</v>
      </c>
      <c r="F124" s="29" t="s">
        <v>74</v>
      </c>
      <c r="G124" s="29"/>
      <c r="H124" s="29" t="s">
        <v>93</v>
      </c>
      <c r="I124" s="30">
        <v>10000</v>
      </c>
      <c r="J124" s="29"/>
      <c r="K124" s="29" t="s">
        <v>237</v>
      </c>
      <c r="L124" s="29"/>
      <c r="M124" s="29"/>
    </row>
    <row r="125" spans="1:13" s="36" customFormat="1" x14ac:dyDescent="0.2">
      <c r="A125" s="28" t="s">
        <v>27</v>
      </c>
      <c r="B125" s="60" t="s">
        <v>105</v>
      </c>
      <c r="C125" s="29" t="s">
        <v>28</v>
      </c>
      <c r="D125" s="29" t="s">
        <v>27</v>
      </c>
      <c r="E125" s="29" t="s">
        <v>73</v>
      </c>
      <c r="F125" s="29" t="s">
        <v>74</v>
      </c>
      <c r="G125" s="29"/>
      <c r="H125" s="29" t="s">
        <v>93</v>
      </c>
      <c r="I125" s="30">
        <v>20000</v>
      </c>
      <c r="J125" s="29"/>
      <c r="K125" s="29" t="s">
        <v>237</v>
      </c>
      <c r="L125" s="29"/>
      <c r="M125" s="29"/>
    </row>
    <row r="126" spans="1:13" s="36" customFormat="1" x14ac:dyDescent="0.2">
      <c r="A126" s="28" t="s">
        <v>27</v>
      </c>
      <c r="B126" s="60" t="s">
        <v>106</v>
      </c>
      <c r="C126" s="29" t="s">
        <v>28</v>
      </c>
      <c r="D126" s="29" t="s">
        <v>27</v>
      </c>
      <c r="E126" s="29" t="s">
        <v>73</v>
      </c>
      <c r="F126" s="29" t="s">
        <v>74</v>
      </c>
      <c r="G126" s="29"/>
      <c r="H126" s="29" t="s">
        <v>93</v>
      </c>
      <c r="I126" s="30">
        <v>15000</v>
      </c>
      <c r="J126" s="29"/>
      <c r="K126" s="29" t="s">
        <v>237</v>
      </c>
      <c r="L126" s="29"/>
      <c r="M126" s="29"/>
    </row>
    <row r="127" spans="1:13" s="36" customFormat="1" x14ac:dyDescent="0.2">
      <c r="A127" s="28" t="s">
        <v>27</v>
      </c>
      <c r="B127" s="60" t="s">
        <v>107</v>
      </c>
      <c r="C127" s="29" t="s">
        <v>28</v>
      </c>
      <c r="D127" s="29" t="s">
        <v>27</v>
      </c>
      <c r="E127" s="29" t="s">
        <v>73</v>
      </c>
      <c r="F127" s="29" t="s">
        <v>74</v>
      </c>
      <c r="G127" s="29"/>
      <c r="H127" s="29" t="s">
        <v>93</v>
      </c>
      <c r="I127" s="30">
        <v>15000</v>
      </c>
      <c r="J127" s="29"/>
      <c r="K127" s="29" t="s">
        <v>237</v>
      </c>
      <c r="L127" s="29"/>
      <c r="M127" s="29"/>
    </row>
    <row r="128" spans="1:13" s="36" customFormat="1" x14ac:dyDescent="0.2">
      <c r="A128" s="28" t="s">
        <v>27</v>
      </c>
      <c r="B128" s="60" t="s">
        <v>108</v>
      </c>
      <c r="C128" s="29" t="s">
        <v>28</v>
      </c>
      <c r="D128" s="29" t="s">
        <v>27</v>
      </c>
      <c r="E128" s="29" t="s">
        <v>73</v>
      </c>
      <c r="F128" s="29" t="s">
        <v>74</v>
      </c>
      <c r="G128" s="29"/>
      <c r="H128" s="29" t="s">
        <v>93</v>
      </c>
      <c r="I128" s="30">
        <v>10000</v>
      </c>
      <c r="J128" s="29"/>
      <c r="K128" s="29" t="s">
        <v>237</v>
      </c>
      <c r="L128" s="29"/>
      <c r="M128" s="29"/>
    </row>
    <row r="129" spans="1:13" s="36" customFormat="1" x14ac:dyDescent="0.2">
      <c r="A129" s="56"/>
      <c r="B129" s="59"/>
      <c r="C129" s="57"/>
      <c r="D129" s="57"/>
      <c r="E129" s="57"/>
      <c r="F129" s="57"/>
      <c r="G129" s="57"/>
      <c r="H129" s="57"/>
      <c r="I129" s="55"/>
      <c r="J129" s="57"/>
      <c r="K129" s="57"/>
      <c r="L129" s="57"/>
      <c r="M129" s="57"/>
    </row>
    <row r="130" spans="1:13" s="36" customFormat="1" x14ac:dyDescent="0.2">
      <c r="A130" s="56"/>
      <c r="B130" s="59"/>
      <c r="C130" s="57"/>
      <c r="D130" s="57"/>
      <c r="E130" s="57"/>
      <c r="F130" s="57"/>
      <c r="G130" s="57"/>
      <c r="H130" s="57"/>
      <c r="I130" s="55"/>
      <c r="J130" s="57"/>
      <c r="K130" s="57"/>
      <c r="L130" s="57"/>
      <c r="M130" s="57"/>
    </row>
    <row r="131" spans="1:13" s="36" customFormat="1" x14ac:dyDescent="0.2">
      <c r="A131" s="56"/>
      <c r="B131" s="59"/>
      <c r="C131" s="57"/>
      <c r="D131" s="57"/>
      <c r="E131" s="57"/>
      <c r="F131" s="57"/>
      <c r="G131" s="57"/>
      <c r="H131" s="57"/>
      <c r="I131" s="55"/>
      <c r="J131" s="57"/>
      <c r="K131" s="57"/>
      <c r="L131" s="57"/>
      <c r="M131" s="57"/>
    </row>
    <row r="132" spans="1:13" s="36" customFormat="1" x14ac:dyDescent="0.2">
      <c r="A132" s="56"/>
      <c r="B132" s="59"/>
      <c r="C132" s="57"/>
      <c r="D132" s="57"/>
      <c r="E132" s="57"/>
      <c r="F132" s="57"/>
      <c r="G132" s="57"/>
      <c r="H132" s="57"/>
      <c r="I132" s="55"/>
      <c r="J132" s="57"/>
      <c r="K132" s="57"/>
      <c r="L132" s="57"/>
      <c r="M132" s="57"/>
    </row>
    <row r="133" spans="1:13" s="36" customFormat="1" x14ac:dyDescent="0.2">
      <c r="A133" s="56"/>
      <c r="B133" s="59"/>
      <c r="C133" s="57"/>
      <c r="D133" s="57"/>
      <c r="E133" s="57"/>
      <c r="F133" s="57"/>
      <c r="G133" s="57"/>
      <c r="H133" s="57"/>
      <c r="I133" s="55"/>
      <c r="J133" s="57"/>
      <c r="K133" s="57"/>
      <c r="L133" s="57"/>
      <c r="M133" s="57"/>
    </row>
    <row r="134" spans="1:13" s="36" customFormat="1" x14ac:dyDescent="0.2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2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2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s="36" customFormat="1" x14ac:dyDescent="0.2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s="36" customFormat="1" x14ac:dyDescent="0.2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39" spans="1:13" x14ac:dyDescent="0.2">
      <c r="A139" s="56"/>
      <c r="B139" s="59"/>
      <c r="C139" s="57"/>
      <c r="D139" s="57"/>
      <c r="E139" s="57"/>
      <c r="F139" s="57"/>
      <c r="G139" s="57"/>
      <c r="H139" s="57"/>
      <c r="I139" s="55"/>
      <c r="J139" s="57"/>
      <c r="K139" s="57"/>
      <c r="L139" s="57"/>
      <c r="M139" s="57"/>
    </row>
    <row r="140" spans="1:13" x14ac:dyDescent="0.2">
      <c r="A140" s="56"/>
      <c r="B140" s="59"/>
      <c r="C140" s="57"/>
      <c r="D140" s="57"/>
      <c r="E140" s="57"/>
      <c r="F140" s="57"/>
      <c r="G140" s="57"/>
      <c r="H140" s="57"/>
      <c r="I140" s="55"/>
      <c r="J140" s="57"/>
      <c r="K140" s="57"/>
      <c r="L140" s="57"/>
      <c r="M140" s="57"/>
    </row>
    <row r="142" spans="1:13" ht="18.75" thickBot="1" x14ac:dyDescent="0.25"/>
    <row r="143" spans="1:13" ht="27" thickTop="1" thickBot="1" x14ac:dyDescent="0.25">
      <c r="F143" s="80"/>
      <c r="G143" s="37" t="s">
        <v>230</v>
      </c>
      <c r="H143" s="64">
        <f>SUMIF(D2:D1025,"مدفوع",I2:I1025)-748000</f>
        <v>620316.0399999998</v>
      </c>
    </row>
    <row r="144" spans="1:13" ht="27" thickTop="1" thickBot="1" x14ac:dyDescent="0.25">
      <c r="E144" s="67"/>
      <c r="F144" s="80"/>
      <c r="G144" s="38" t="s">
        <v>229</v>
      </c>
      <c r="H144" s="65">
        <f>SUMIF(D2:D1025,"مستقبلي",I2:I1025)</f>
        <v>120175</v>
      </c>
    </row>
    <row r="145" spans="5:8" ht="27" thickTop="1" thickBot="1" x14ac:dyDescent="0.25">
      <c r="E145" s="67"/>
      <c r="F145" s="80"/>
      <c r="G145" s="39" t="s">
        <v>228</v>
      </c>
      <c r="H145" s="66">
        <f>SUMIF(D2:D1025,"مدفوع",I2:I1025)</f>
        <v>1368316.0399999998</v>
      </c>
    </row>
    <row r="146" spans="5:8" ht="18.75" thickTop="1" x14ac:dyDescent="0.2">
      <c r="E146" s="67"/>
    </row>
    <row r="147" spans="5:8" x14ac:dyDescent="0.2">
      <c r="E147" s="67"/>
    </row>
    <row r="149" spans="5:8" x14ac:dyDescent="0.2">
      <c r="E149" s="68"/>
      <c r="H149" s="63"/>
    </row>
  </sheetData>
  <mergeCells count="1">
    <mergeCell ref="A2:M2"/>
  </mergeCells>
  <dataValidations count="1">
    <dataValidation type="list" allowBlank="1" showInputMessage="1" showErrorMessage="1" sqref="D5:D140" xr:uid="{8DD4A2C2-2D88-4DA6-AAB9-88AA2C531F27}">
      <formula1>$D$5:$D$140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D27" zoomScaleNormal="100" workbookViewId="0">
      <selection activeCell="L30" sqref="L30"/>
    </sheetView>
  </sheetViews>
  <sheetFormatPr defaultColWidth="22.8671875" defaultRowHeight="21" x14ac:dyDescent="0.3"/>
  <cols>
    <col min="1" max="1" width="21.92578125" style="3" bestFit="1" customWidth="1"/>
    <col min="2" max="2" width="18.96484375" style="2" bestFit="1" customWidth="1"/>
    <col min="3" max="3" width="15.46875" style="2" bestFit="1" customWidth="1"/>
    <col min="4" max="4" width="14.390625" style="2" bestFit="1" customWidth="1"/>
    <col min="5" max="5" width="14.796875" style="2" bestFit="1" customWidth="1"/>
    <col min="6" max="6" width="26.5" style="2" bestFit="1" customWidth="1"/>
    <col min="7" max="7" width="14.796875" style="2" bestFit="1" customWidth="1"/>
    <col min="8" max="8" width="13.71875" style="2" bestFit="1" customWidth="1"/>
    <col min="9" max="9" width="51.25" style="2" bestFit="1" customWidth="1"/>
    <col min="10" max="10" width="17.484375" style="2" bestFit="1" customWidth="1"/>
    <col min="11" max="11" width="6.1875" style="2" bestFit="1" customWidth="1"/>
    <col min="12" max="12" width="9.81640625" style="2" bestFit="1" customWidth="1"/>
    <col min="13" max="16384" width="22.8671875" style="2"/>
  </cols>
  <sheetData>
    <row r="3" spans="1:11" ht="37.5" x14ac:dyDescent="0.55000000000000004">
      <c r="A3" s="12" t="s">
        <v>149</v>
      </c>
      <c r="B3" s="13"/>
      <c r="C3" s="13"/>
      <c r="D3" s="13"/>
      <c r="E3" s="13"/>
      <c r="F3" s="13"/>
      <c r="G3" s="13"/>
      <c r="H3" s="13"/>
    </row>
    <row r="5" spans="1:11" s="7" customFormat="1" ht="3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151</v>
      </c>
      <c r="F5" s="19" t="s">
        <v>152</v>
      </c>
      <c r="G5" s="18" t="s">
        <v>6</v>
      </c>
      <c r="H5" s="20" t="s">
        <v>7</v>
      </c>
      <c r="I5" s="18" t="s">
        <v>272</v>
      </c>
    </row>
    <row r="6" spans="1:11" x14ac:dyDescent="0.3">
      <c r="A6" s="43">
        <v>46042</v>
      </c>
      <c r="B6" s="44" t="s">
        <v>154</v>
      </c>
      <c r="C6" s="44" t="s">
        <v>154</v>
      </c>
      <c r="D6" s="44" t="s">
        <v>154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153</v>
      </c>
      <c r="J6" s="2" t="s">
        <v>165</v>
      </c>
      <c r="K6" s="52"/>
    </row>
    <row r="7" spans="1:11" ht="37.5" x14ac:dyDescent="0.3">
      <c r="A7" s="47">
        <v>46042</v>
      </c>
      <c r="B7" s="48" t="s">
        <v>123</v>
      </c>
      <c r="C7" s="48" t="s">
        <v>159</v>
      </c>
      <c r="D7" s="52" t="s">
        <v>165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153</v>
      </c>
      <c r="J7" s="2" t="s">
        <v>164</v>
      </c>
      <c r="K7" s="53"/>
    </row>
    <row r="8" spans="1:11" ht="37.5" x14ac:dyDescent="0.3">
      <c r="A8" s="47">
        <v>46054</v>
      </c>
      <c r="B8" s="48" t="s">
        <v>172</v>
      </c>
      <c r="C8" s="48" t="s">
        <v>160</v>
      </c>
      <c r="D8" s="52" t="s">
        <v>165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153</v>
      </c>
    </row>
    <row r="9" spans="1:11" x14ac:dyDescent="0.3">
      <c r="A9" s="43">
        <v>46055</v>
      </c>
      <c r="B9" s="44" t="s">
        <v>154</v>
      </c>
      <c r="C9" s="44" t="s">
        <v>154</v>
      </c>
      <c r="D9" s="44" t="s">
        <v>154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153</v>
      </c>
      <c r="J9" s="2" t="s">
        <v>165</v>
      </c>
      <c r="K9" s="52"/>
    </row>
    <row r="10" spans="1:11" ht="37.5" x14ac:dyDescent="0.3">
      <c r="A10" s="47">
        <v>46055</v>
      </c>
      <c r="B10" s="48" t="s">
        <v>163</v>
      </c>
      <c r="C10" s="48" t="s">
        <v>173</v>
      </c>
      <c r="D10" s="52" t="s">
        <v>165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153</v>
      </c>
    </row>
    <row r="11" spans="1:11" x14ac:dyDescent="0.3">
      <c r="A11" s="43">
        <v>46064</v>
      </c>
      <c r="B11" s="44" t="s">
        <v>154</v>
      </c>
      <c r="C11" s="44" t="s">
        <v>154</v>
      </c>
      <c r="D11" s="44" t="s">
        <v>154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153</v>
      </c>
    </row>
    <row r="12" spans="1:11" ht="37.5" x14ac:dyDescent="0.3">
      <c r="A12" s="47">
        <v>46064</v>
      </c>
      <c r="B12" s="48" t="s">
        <v>183</v>
      </c>
      <c r="C12" s="48" t="s">
        <v>184</v>
      </c>
      <c r="D12" s="52" t="s">
        <v>165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153</v>
      </c>
    </row>
    <row r="13" spans="1:11" x14ac:dyDescent="0.3">
      <c r="A13" s="43">
        <v>46075</v>
      </c>
      <c r="B13" s="44" t="s">
        <v>154</v>
      </c>
      <c r="C13" s="44" t="s">
        <v>154</v>
      </c>
      <c r="D13" s="44" t="s">
        <v>154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153</v>
      </c>
    </row>
    <row r="14" spans="1:11" x14ac:dyDescent="0.3">
      <c r="A14" s="43">
        <v>46077</v>
      </c>
      <c r="B14" s="44" t="s">
        <v>154</v>
      </c>
      <c r="C14" s="44" t="s">
        <v>154</v>
      </c>
      <c r="D14" s="44" t="s">
        <v>154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153</v>
      </c>
    </row>
    <row r="15" spans="1:11" ht="37.5" x14ac:dyDescent="0.3">
      <c r="A15" s="47">
        <v>46077</v>
      </c>
      <c r="B15" s="48" t="s">
        <v>190</v>
      </c>
      <c r="C15" s="48" t="s">
        <v>191</v>
      </c>
      <c r="D15" s="52" t="s">
        <v>165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153</v>
      </c>
    </row>
    <row r="16" spans="1:11" x14ac:dyDescent="0.3">
      <c r="A16" s="43">
        <v>46096</v>
      </c>
      <c r="B16" s="44" t="s">
        <v>154</v>
      </c>
      <c r="C16" s="44" t="s">
        <v>154</v>
      </c>
      <c r="D16" s="44" t="s">
        <v>154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153</v>
      </c>
    </row>
    <row r="17" spans="1:9" ht="37.5" x14ac:dyDescent="0.3">
      <c r="A17" s="47">
        <v>46099</v>
      </c>
      <c r="B17" s="48" t="s">
        <v>208</v>
      </c>
      <c r="C17" s="48" t="s">
        <v>209</v>
      </c>
      <c r="D17" s="52" t="s">
        <v>165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153</v>
      </c>
    </row>
    <row r="18" spans="1:9" x14ac:dyDescent="0.3">
      <c r="A18" s="43">
        <v>46116</v>
      </c>
      <c r="B18" s="44" t="s">
        <v>154</v>
      </c>
      <c r="C18" s="44" t="s">
        <v>154</v>
      </c>
      <c r="D18" s="44" t="s">
        <v>154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153</v>
      </c>
    </row>
    <row r="19" spans="1:9" ht="37.5" x14ac:dyDescent="0.3">
      <c r="A19" s="47">
        <v>46120</v>
      </c>
      <c r="B19" s="48" t="s">
        <v>220</v>
      </c>
      <c r="C19" s="48" t="s">
        <v>184</v>
      </c>
      <c r="D19" s="52" t="s">
        <v>165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153</v>
      </c>
    </row>
    <row r="20" spans="1:9" x14ac:dyDescent="0.3">
      <c r="A20" s="43">
        <v>46144</v>
      </c>
      <c r="B20" s="44" t="s">
        <v>154</v>
      </c>
      <c r="C20" s="44" t="s">
        <v>154</v>
      </c>
      <c r="D20" s="44" t="s">
        <v>154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153</v>
      </c>
    </row>
    <row r="21" spans="1:9" ht="37.5" x14ac:dyDescent="0.3">
      <c r="A21" s="47">
        <v>46145</v>
      </c>
      <c r="B21" s="48" t="s">
        <v>255</v>
      </c>
      <c r="C21" s="48" t="s">
        <v>256</v>
      </c>
      <c r="D21" s="52" t="s">
        <v>165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153</v>
      </c>
    </row>
    <row r="22" spans="1:9" x14ac:dyDescent="0.3">
      <c r="A22" s="43">
        <v>46151</v>
      </c>
      <c r="B22" s="44" t="s">
        <v>154</v>
      </c>
      <c r="C22" s="44" t="s">
        <v>154</v>
      </c>
      <c r="D22" s="44" t="s">
        <v>154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153</v>
      </c>
    </row>
    <row r="23" spans="1:9" ht="37.5" x14ac:dyDescent="0.3">
      <c r="A23" s="47">
        <v>46152</v>
      </c>
      <c r="B23" s="48" t="s">
        <v>255</v>
      </c>
      <c r="C23" s="48" t="s">
        <v>258</v>
      </c>
      <c r="D23" s="52" t="s">
        <v>165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153</v>
      </c>
    </row>
    <row r="24" spans="1:9" x14ac:dyDescent="0.3">
      <c r="A24" s="43">
        <v>46180</v>
      </c>
      <c r="B24" s="44" t="s">
        <v>154</v>
      </c>
      <c r="C24" s="44" t="s">
        <v>154</v>
      </c>
      <c r="D24" s="44" t="s">
        <v>154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153</v>
      </c>
    </row>
    <row r="25" spans="1:9" x14ac:dyDescent="0.3">
      <c r="A25" s="43">
        <v>46180</v>
      </c>
      <c r="B25" s="44" t="s">
        <v>154</v>
      </c>
      <c r="C25" s="44" t="s">
        <v>154</v>
      </c>
      <c r="D25" s="44" t="s">
        <v>154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153</v>
      </c>
    </row>
    <row r="26" spans="1:9" ht="37.5" x14ac:dyDescent="0.3">
      <c r="A26" s="47">
        <v>46181</v>
      </c>
      <c r="B26" s="48" t="s">
        <v>274</v>
      </c>
      <c r="C26" s="48" t="s">
        <v>275</v>
      </c>
      <c r="D26" s="52" t="s">
        <v>165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153</v>
      </c>
    </row>
    <row r="27" spans="1:9" ht="37.5" x14ac:dyDescent="0.3">
      <c r="A27" s="47">
        <v>46181</v>
      </c>
      <c r="B27" s="48" t="s">
        <v>276</v>
      </c>
      <c r="C27" s="48" t="s">
        <v>275</v>
      </c>
      <c r="D27" s="52" t="s">
        <v>165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153</v>
      </c>
    </row>
    <row r="28" spans="1:9" x14ac:dyDescent="0.3">
      <c r="A28" s="43">
        <v>46180</v>
      </c>
      <c r="B28" s="44" t="s">
        <v>154</v>
      </c>
      <c r="C28" s="44" t="s">
        <v>154</v>
      </c>
      <c r="D28" s="44" t="s">
        <v>154</v>
      </c>
      <c r="E28" s="44">
        <v>289.75</v>
      </c>
      <c r="F28" s="44">
        <v>55</v>
      </c>
      <c r="G28" s="45">
        <v>262.25</v>
      </c>
      <c r="H28" s="46" t="s">
        <v>153</v>
      </c>
    </row>
    <row r="29" spans="1:9" x14ac:dyDescent="0.3">
      <c r="A29" s="43">
        <v>46190</v>
      </c>
      <c r="B29" s="44" t="s">
        <v>154</v>
      </c>
      <c r="C29" s="44" t="s">
        <v>154</v>
      </c>
      <c r="D29" s="44" t="s">
        <v>154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153</v>
      </c>
    </row>
    <row r="30" spans="1:9" ht="55.5" x14ac:dyDescent="0.3">
      <c r="A30" s="47">
        <v>46181</v>
      </c>
      <c r="B30" s="48" t="s">
        <v>285</v>
      </c>
      <c r="C30" s="81" t="s">
        <v>287</v>
      </c>
      <c r="D30" s="52" t="s">
        <v>165</v>
      </c>
      <c r="E30" s="49">
        <v>289.75</v>
      </c>
      <c r="F30" s="82">
        <v>-14</v>
      </c>
      <c r="G30" s="50">
        <f>Table83[[#This Row],[سعر المتر]]*Table83[[#This Row],[الكمية]]</f>
        <v>-4056.5</v>
      </c>
      <c r="H30" s="51" t="s">
        <v>153</v>
      </c>
      <c r="I30" s="83" t="s">
        <v>288</v>
      </c>
    </row>
    <row r="31" spans="1:9" ht="55.5" x14ac:dyDescent="0.3">
      <c r="A31" s="47">
        <v>46181</v>
      </c>
      <c r="B31" s="48" t="s">
        <v>286</v>
      </c>
      <c r="C31" s="81" t="s">
        <v>287</v>
      </c>
      <c r="D31" s="52" t="s">
        <v>165</v>
      </c>
      <c r="E31" s="49">
        <v>5.75</v>
      </c>
      <c r="F31" s="82">
        <v>-14</v>
      </c>
      <c r="G31" s="50">
        <f>Table83[[#This Row],[سعر المتر]]*Table83[[#This Row],[الكمية]]</f>
        <v>-80.5</v>
      </c>
      <c r="H31" s="51" t="s">
        <v>153</v>
      </c>
      <c r="I31" s="83" t="s">
        <v>289</v>
      </c>
    </row>
    <row r="32" spans="1:9" x14ac:dyDescent="0.3">
      <c r="A32" s="15"/>
      <c r="B32" s="44"/>
      <c r="C32" s="86"/>
      <c r="D32" s="8"/>
      <c r="E32" s="33"/>
      <c r="F32" s="8"/>
      <c r="G32" s="45">
        <f>Table83[[#This Row],[سعر المتر]]*Table83[[#This Row],[الكمية]]</f>
        <v>0</v>
      </c>
      <c r="H32" s="16"/>
    </row>
    <row r="33" spans="1:12" x14ac:dyDescent="0.3">
      <c r="A33" s="15"/>
      <c r="B33" s="44"/>
      <c r="C33" s="86"/>
      <c r="D33" s="8"/>
      <c r="E33" s="33"/>
      <c r="F33" s="8"/>
      <c r="G33" s="45">
        <f>Table83[[#This Row],[سعر المتر]]*Table83[[#This Row],[الكمية]]</f>
        <v>0</v>
      </c>
      <c r="H33" s="16"/>
    </row>
    <row r="34" spans="1:12" x14ac:dyDescent="0.3">
      <c r="A34" s="15"/>
      <c r="B34" s="44"/>
      <c r="C34" s="32"/>
      <c r="D34" s="1"/>
      <c r="E34" s="32"/>
      <c r="F34" s="1"/>
      <c r="G34" s="85">
        <f>Table83[[#This Row],[سعر المتر]]*Table83[[#This Row],[الكمية]]</f>
        <v>0</v>
      </c>
      <c r="H34" s="16"/>
    </row>
    <row r="35" spans="1:12" x14ac:dyDescent="0.3">
      <c r="A35" s="15"/>
      <c r="B35" s="14"/>
      <c r="C35" s="84"/>
      <c r="D35" s="1"/>
      <c r="E35" s="32"/>
      <c r="F35" s="1"/>
      <c r="G35" s="85">
        <f>Table83[[#This Row],[سعر المتر]]*Table83[[#This Row],[الكمية]]</f>
        <v>0</v>
      </c>
      <c r="H35" s="16"/>
    </row>
    <row r="36" spans="1:12" x14ac:dyDescent="0.3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3">
      <c r="J37" s="91"/>
      <c r="K37" s="91"/>
      <c r="L37" s="91"/>
    </row>
    <row r="38" spans="1:12" x14ac:dyDescent="0.3">
      <c r="F38" s="9" t="s">
        <v>150</v>
      </c>
      <c r="G38" s="41">
        <f>SUM(G6:G36)</f>
        <v>1078.5</v>
      </c>
      <c r="J38" s="89"/>
      <c r="K38" s="89"/>
      <c r="L38" s="89"/>
    </row>
    <row r="39" spans="1:12" x14ac:dyDescent="0.3">
      <c r="J39" s="89"/>
      <c r="K39" s="89"/>
      <c r="L39" s="89"/>
    </row>
    <row r="40" spans="1:12" x14ac:dyDescent="0.3">
      <c r="F40" s="9" t="s">
        <v>201</v>
      </c>
      <c r="G40" s="41">
        <f>G38/J48</f>
        <v>3.7221742881794651</v>
      </c>
      <c r="J40" s="89"/>
      <c r="K40" s="89"/>
      <c r="L40" s="89"/>
    </row>
    <row r="41" spans="1:12" x14ac:dyDescent="0.3">
      <c r="J41" s="89"/>
      <c r="K41" s="89"/>
      <c r="L41" s="89"/>
    </row>
    <row r="42" spans="1:12" x14ac:dyDescent="0.3">
      <c r="J42" s="91"/>
      <c r="K42" s="91"/>
      <c r="L42" s="91"/>
    </row>
    <row r="43" spans="1:12" x14ac:dyDescent="0.3">
      <c r="J43" s="89"/>
      <c r="K43" s="89"/>
      <c r="L43" s="89"/>
    </row>
    <row r="44" spans="1:12" x14ac:dyDescent="0.3">
      <c r="J44" s="89"/>
      <c r="K44" s="89"/>
      <c r="L44" s="89"/>
    </row>
    <row r="46" spans="1:12" x14ac:dyDescent="0.3">
      <c r="J46" s="92" t="s">
        <v>293</v>
      </c>
      <c r="K46" s="92"/>
      <c r="L46" s="92"/>
    </row>
    <row r="47" spans="1:12" x14ac:dyDescent="0.3">
      <c r="J47" s="1" t="s">
        <v>166</v>
      </c>
      <c r="K47" s="1" t="s">
        <v>152</v>
      </c>
      <c r="L47" s="1" t="s">
        <v>6</v>
      </c>
    </row>
    <row r="48" spans="1:12" x14ac:dyDescent="0.3">
      <c r="J48" s="1">
        <v>289.75</v>
      </c>
      <c r="K48" s="1">
        <v>14</v>
      </c>
      <c r="L48" s="1">
        <f>J48*K48</f>
        <v>4056.5</v>
      </c>
    </row>
    <row r="51" spans="10:12" x14ac:dyDescent="0.3">
      <c r="J51" s="93" t="s">
        <v>294</v>
      </c>
      <c r="K51" s="93"/>
      <c r="L51" s="93"/>
    </row>
    <row r="52" spans="10:12" x14ac:dyDescent="0.3">
      <c r="J52" s="1" t="s">
        <v>166</v>
      </c>
      <c r="K52" s="1" t="s">
        <v>152</v>
      </c>
      <c r="L52" s="1" t="s">
        <v>6</v>
      </c>
    </row>
    <row r="53" spans="10:12" x14ac:dyDescent="0.3">
      <c r="J53" s="1">
        <v>5.75</v>
      </c>
      <c r="K53" s="1">
        <v>14</v>
      </c>
      <c r="L53" s="1">
        <f>J53*K53</f>
        <v>80.5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671875" defaultRowHeight="21" x14ac:dyDescent="0.3"/>
  <cols>
    <col min="1" max="1" width="21.25390625" style="3" bestFit="1" customWidth="1"/>
    <col min="2" max="2" width="18.96484375" style="2" bestFit="1" customWidth="1"/>
    <col min="3" max="3" width="16.41015625" style="2" bestFit="1" customWidth="1"/>
    <col min="4" max="4" width="15.19921875" style="2" bestFit="1" customWidth="1"/>
    <col min="5" max="5" width="16.6796875" style="2" bestFit="1" customWidth="1"/>
    <col min="6" max="6" width="24.48046875" style="2" bestFit="1" customWidth="1"/>
    <col min="7" max="7" width="17.484375" style="2" bestFit="1" customWidth="1"/>
    <col min="8" max="8" width="15.6015625" style="2" bestFit="1" customWidth="1"/>
    <col min="9" max="16384" width="22.8671875" style="2"/>
  </cols>
  <sheetData>
    <row r="3" spans="1:9" ht="35.25" x14ac:dyDescent="0.55000000000000004">
      <c r="A3" s="12" t="s">
        <v>211</v>
      </c>
      <c r="B3" s="13"/>
      <c r="C3" s="13"/>
      <c r="D3" s="13"/>
      <c r="E3" s="13"/>
      <c r="F3" s="13"/>
      <c r="G3" s="13"/>
      <c r="H3" s="13"/>
    </row>
    <row r="5" spans="1:9" s="7" customFormat="1" ht="3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3">
      <c r="A6" s="43">
        <v>46109</v>
      </c>
      <c r="B6" s="44" t="s">
        <v>154</v>
      </c>
      <c r="C6" s="44" t="s">
        <v>154</v>
      </c>
      <c r="D6" s="44" t="s">
        <v>154</v>
      </c>
      <c r="E6" s="44">
        <v>-315</v>
      </c>
      <c r="F6" s="46" t="s">
        <v>153</v>
      </c>
      <c r="H6" s="2" t="s">
        <v>165</v>
      </c>
      <c r="I6" s="52"/>
    </row>
    <row r="7" spans="1:9" x14ac:dyDescent="0.3">
      <c r="A7" s="43">
        <v>46161</v>
      </c>
      <c r="B7" s="44" t="s">
        <v>154</v>
      </c>
      <c r="C7" s="44" t="s">
        <v>154</v>
      </c>
      <c r="D7" s="44" t="s">
        <v>154</v>
      </c>
      <c r="E7" s="44">
        <v>-43655</v>
      </c>
      <c r="F7" s="46" t="s">
        <v>153</v>
      </c>
      <c r="H7" s="2" t="s">
        <v>164</v>
      </c>
      <c r="I7" s="53"/>
    </row>
    <row r="8" spans="1:9" x14ac:dyDescent="0.3">
      <c r="A8" s="47">
        <v>46161</v>
      </c>
      <c r="B8" s="49" t="s">
        <v>165</v>
      </c>
      <c r="C8" s="49" t="s">
        <v>165</v>
      </c>
      <c r="D8" s="49" t="s">
        <v>165</v>
      </c>
      <c r="E8" s="49">
        <v>43970</v>
      </c>
      <c r="F8" s="51" t="s">
        <v>153</v>
      </c>
    </row>
    <row r="9" spans="1:9" x14ac:dyDescent="0.3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3">
      <c r="A10" s="61"/>
      <c r="B10" s="14"/>
      <c r="C10" s="14"/>
      <c r="E10" s="1"/>
      <c r="F10" s="62"/>
    </row>
    <row r="11" spans="1:9" x14ac:dyDescent="0.3">
      <c r="A11" s="61"/>
      <c r="B11" s="1"/>
      <c r="C11" s="1"/>
      <c r="D11" s="1"/>
      <c r="E11" s="1"/>
      <c r="F11" s="62"/>
    </row>
    <row r="12" spans="1:9" x14ac:dyDescent="0.3">
      <c r="A12" s="61"/>
      <c r="B12" s="14"/>
      <c r="C12" s="14"/>
      <c r="E12" s="1"/>
      <c r="F12" s="62"/>
    </row>
    <row r="13" spans="1:9" x14ac:dyDescent="0.3">
      <c r="A13" s="61"/>
      <c r="B13" s="1"/>
      <c r="C13" s="1"/>
      <c r="D13" s="1"/>
      <c r="E13" s="1"/>
      <c r="F13" s="62"/>
    </row>
    <row r="14" spans="1:9" x14ac:dyDescent="0.3">
      <c r="A14" s="61"/>
      <c r="B14" s="1"/>
      <c r="C14" s="1"/>
      <c r="D14" s="1"/>
      <c r="E14" s="1"/>
      <c r="F14" s="62"/>
    </row>
    <row r="15" spans="1:9" x14ac:dyDescent="0.3">
      <c r="A15" s="61"/>
      <c r="B15" s="14"/>
      <c r="C15" s="14"/>
      <c r="E15" s="1"/>
      <c r="F15" s="62"/>
    </row>
    <row r="16" spans="1:9" x14ac:dyDescent="0.3">
      <c r="A16" s="61"/>
      <c r="B16" s="1"/>
      <c r="C16" s="1"/>
      <c r="D16" s="1"/>
      <c r="E16" s="1"/>
      <c r="F16" s="62"/>
    </row>
    <row r="17" spans="1:12" x14ac:dyDescent="0.3">
      <c r="A17" s="61"/>
      <c r="B17" s="14"/>
      <c r="C17" s="14"/>
      <c r="E17" s="1"/>
      <c r="F17" s="62"/>
    </row>
    <row r="18" spans="1:12" x14ac:dyDescent="0.3">
      <c r="A18" s="15"/>
      <c r="B18" s="1"/>
      <c r="C18" s="32"/>
      <c r="D18" s="8"/>
      <c r="E18" s="33"/>
      <c r="F18" s="16"/>
    </row>
    <row r="19" spans="1:12" x14ac:dyDescent="0.3">
      <c r="A19" s="31"/>
      <c r="B19" s="32"/>
      <c r="C19" s="32"/>
      <c r="D19" s="33"/>
      <c r="E19" s="33"/>
      <c r="F19" s="35"/>
    </row>
    <row r="20" spans="1:12" x14ac:dyDescent="0.3">
      <c r="J20" s="94" t="s">
        <v>167</v>
      </c>
      <c r="K20" s="94"/>
      <c r="L20" s="94"/>
    </row>
    <row r="21" spans="1:12" x14ac:dyDescent="0.3">
      <c r="F21" s="9" t="s">
        <v>150</v>
      </c>
      <c r="G21" s="41">
        <f>SUM(Table834[المبلغ])</f>
        <v>0</v>
      </c>
      <c r="J21" s="1" t="s">
        <v>166</v>
      </c>
      <c r="K21" s="1" t="s">
        <v>152</v>
      </c>
      <c r="L21" s="1" t="s">
        <v>6</v>
      </c>
    </row>
    <row r="22" spans="1:12" x14ac:dyDescent="0.3">
      <c r="J22" s="1">
        <v>289.75</v>
      </c>
      <c r="K22" s="1">
        <v>28</v>
      </c>
      <c r="L22" s="1">
        <f>J22*K22</f>
        <v>8113</v>
      </c>
    </row>
    <row r="25" spans="1:12" x14ac:dyDescent="0.3">
      <c r="K25" s="2">
        <v>11</v>
      </c>
    </row>
    <row r="26" spans="1:12" x14ac:dyDescent="0.3">
      <c r="J26" s="54"/>
      <c r="K26" s="2">
        <v>18</v>
      </c>
    </row>
    <row r="28" spans="1:12" x14ac:dyDescent="0.3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671875" defaultRowHeight="21" x14ac:dyDescent="0.3"/>
  <cols>
    <col min="1" max="1" width="24.2109375" style="3" bestFit="1" customWidth="1"/>
    <col min="2" max="2" width="40.0859375" style="2" bestFit="1" customWidth="1"/>
    <col min="3" max="3" width="15.33203125" style="2" bestFit="1" customWidth="1"/>
    <col min="4" max="4" width="29.7265625" style="2" bestFit="1" customWidth="1"/>
    <col min="5" max="5" width="19.1015625" style="2" bestFit="1" customWidth="1"/>
    <col min="6" max="6" width="15.73828125" style="2" bestFit="1" customWidth="1"/>
    <col min="7" max="16384" width="22.8671875" style="2"/>
  </cols>
  <sheetData>
    <row r="3" spans="1:6" ht="37.5" x14ac:dyDescent="0.55000000000000004">
      <c r="A3" s="12" t="s">
        <v>40</v>
      </c>
      <c r="B3" s="13"/>
      <c r="C3" s="13"/>
      <c r="D3" s="13"/>
      <c r="E3" s="13"/>
      <c r="F3" s="13"/>
    </row>
    <row r="5" spans="1:6" s="7" customFormat="1" ht="37.5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3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3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3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3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671875" defaultRowHeight="21" x14ac:dyDescent="0.3"/>
  <cols>
    <col min="1" max="1" width="22.8671875" style="3" bestFit="1" customWidth="1"/>
    <col min="2" max="2" width="41.02734375" style="2" bestFit="1" customWidth="1"/>
    <col min="3" max="3" width="24.34765625" style="2" bestFit="1" customWidth="1"/>
    <col min="4" max="16384" width="22.8671875" style="2"/>
  </cols>
  <sheetData>
    <row r="3" spans="1:3" ht="37.5" x14ac:dyDescent="0.55000000000000004">
      <c r="A3" s="12" t="s">
        <v>38</v>
      </c>
      <c r="B3" s="13"/>
      <c r="C3" s="13"/>
    </row>
    <row r="5" spans="1:3" s="7" customFormat="1" x14ac:dyDescent="0.2">
      <c r="A5" s="5" t="s">
        <v>1</v>
      </c>
      <c r="B5" s="6" t="s">
        <v>2</v>
      </c>
      <c r="C5" s="6" t="s">
        <v>7</v>
      </c>
    </row>
    <row r="6" spans="1:3" ht="37.5" x14ac:dyDescent="0.3">
      <c r="A6" s="11">
        <v>46018</v>
      </c>
      <c r="B6" s="14" t="s">
        <v>39</v>
      </c>
      <c r="C6" s="14"/>
    </row>
    <row r="7" spans="1:3" x14ac:dyDescent="0.3">
      <c r="A7" s="11"/>
      <c r="B7" s="14"/>
      <c r="C7" s="14"/>
    </row>
    <row r="8" spans="1:3" x14ac:dyDescent="0.3">
      <c r="A8" s="11"/>
      <c r="B8" s="14"/>
      <c r="C8" s="14"/>
    </row>
    <row r="9" spans="1:3" x14ac:dyDescent="0.3">
      <c r="A9" s="11"/>
      <c r="B9" s="14"/>
      <c r="C9" s="14"/>
    </row>
    <row r="10" spans="1:3" x14ac:dyDescent="0.3">
      <c r="A10" s="11"/>
      <c r="B10" s="14"/>
      <c r="C10" s="14"/>
    </row>
    <row r="11" spans="1:3" x14ac:dyDescent="0.3">
      <c r="A11" s="11"/>
      <c r="B11" s="14"/>
      <c r="C11" s="14"/>
    </row>
    <row r="12" spans="1:3" x14ac:dyDescent="0.3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671875" defaultRowHeight="21" x14ac:dyDescent="0.3"/>
  <cols>
    <col min="1" max="1" width="21.25390625" style="3" bestFit="1" customWidth="1"/>
    <col min="2" max="2" width="18.96484375" style="2" bestFit="1" customWidth="1"/>
    <col min="3" max="3" width="16.41015625" style="2" bestFit="1" customWidth="1"/>
    <col min="4" max="4" width="15.19921875" style="2" bestFit="1" customWidth="1"/>
    <col min="5" max="5" width="18.96484375" style="2" bestFit="1" customWidth="1"/>
    <col min="6" max="6" width="24.48046875" style="2" bestFit="1" customWidth="1"/>
    <col min="7" max="7" width="17.484375" style="2" bestFit="1" customWidth="1"/>
    <col min="8" max="8" width="15.6015625" style="2" bestFit="1" customWidth="1"/>
    <col min="9" max="16384" width="22.8671875" style="2"/>
  </cols>
  <sheetData>
    <row r="3" spans="1:9" ht="37.5" x14ac:dyDescent="0.55000000000000004">
      <c r="A3" s="12" t="s">
        <v>260</v>
      </c>
      <c r="B3" s="13"/>
      <c r="C3" s="13"/>
      <c r="D3" s="13"/>
      <c r="E3" s="13"/>
      <c r="F3" s="13"/>
      <c r="G3" s="13"/>
      <c r="H3" s="13"/>
    </row>
    <row r="5" spans="1:9" s="7" customFormat="1" ht="3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3">
      <c r="A6" s="43">
        <v>46109</v>
      </c>
      <c r="B6" s="44" t="s">
        <v>154</v>
      </c>
      <c r="C6" s="44" t="s">
        <v>154</v>
      </c>
      <c r="D6" s="44" t="s">
        <v>154</v>
      </c>
      <c r="E6" s="44">
        <v>315</v>
      </c>
      <c r="F6" s="46" t="s">
        <v>153</v>
      </c>
      <c r="H6" s="2" t="s">
        <v>165</v>
      </c>
      <c r="I6" s="52"/>
    </row>
    <row r="7" spans="1:9" x14ac:dyDescent="0.3">
      <c r="A7" s="61"/>
      <c r="B7" s="14"/>
      <c r="C7" s="14"/>
      <c r="E7" s="1"/>
      <c r="F7" s="62"/>
      <c r="H7" s="2" t="s">
        <v>164</v>
      </c>
      <c r="I7" s="53"/>
    </row>
    <row r="8" spans="1:9" x14ac:dyDescent="0.3">
      <c r="A8" s="61"/>
      <c r="B8" s="14"/>
      <c r="C8" s="14"/>
      <c r="E8" s="1"/>
      <c r="F8" s="62"/>
    </row>
    <row r="9" spans="1:9" x14ac:dyDescent="0.3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3">
      <c r="A10" s="61"/>
      <c r="B10" s="14"/>
      <c r="C10" s="14"/>
      <c r="E10" s="1"/>
      <c r="F10" s="62"/>
    </row>
    <row r="11" spans="1:9" x14ac:dyDescent="0.3">
      <c r="A11" s="61"/>
      <c r="B11" s="1"/>
      <c r="C11" s="1"/>
      <c r="D11" s="1"/>
      <c r="E11" s="1"/>
      <c r="F11" s="62"/>
    </row>
    <row r="12" spans="1:9" x14ac:dyDescent="0.3">
      <c r="A12" s="61"/>
      <c r="B12" s="14"/>
      <c r="C12" s="14"/>
      <c r="E12" s="1"/>
      <c r="F12" s="62"/>
    </row>
    <row r="13" spans="1:9" x14ac:dyDescent="0.3">
      <c r="A13" s="61"/>
      <c r="B13" s="1"/>
      <c r="C13" s="1"/>
      <c r="D13" s="1"/>
      <c r="E13" s="1"/>
      <c r="F13" s="62"/>
    </row>
    <row r="14" spans="1:9" x14ac:dyDescent="0.3">
      <c r="A14" s="61"/>
      <c r="B14" s="1"/>
      <c r="C14" s="1"/>
      <c r="D14" s="1"/>
      <c r="E14" s="1"/>
      <c r="F14" s="62"/>
    </row>
    <row r="15" spans="1:9" x14ac:dyDescent="0.3">
      <c r="A15" s="61"/>
      <c r="B15" s="14"/>
      <c r="C15" s="14"/>
      <c r="E15" s="1"/>
      <c r="F15" s="62"/>
    </row>
    <row r="16" spans="1:9" x14ac:dyDescent="0.3">
      <c r="A16" s="61"/>
      <c r="B16" s="1"/>
      <c r="C16" s="1"/>
      <c r="D16" s="1"/>
      <c r="E16" s="1"/>
      <c r="F16" s="62"/>
    </row>
    <row r="17" spans="1:12" x14ac:dyDescent="0.3">
      <c r="A17" s="61"/>
      <c r="B17" s="14"/>
      <c r="C17" s="14"/>
      <c r="E17" s="1"/>
      <c r="F17" s="62"/>
    </row>
    <row r="18" spans="1:12" x14ac:dyDescent="0.3">
      <c r="A18" s="15"/>
      <c r="B18" s="1"/>
      <c r="C18" s="32"/>
      <c r="D18" s="8"/>
      <c r="E18" s="33"/>
      <c r="F18" s="16"/>
    </row>
    <row r="19" spans="1:12" x14ac:dyDescent="0.3">
      <c r="A19" s="31"/>
      <c r="B19" s="32"/>
      <c r="C19" s="32"/>
      <c r="D19" s="33"/>
      <c r="E19" s="33"/>
      <c r="F19" s="35"/>
    </row>
    <row r="20" spans="1:12" x14ac:dyDescent="0.3">
      <c r="J20" s="94" t="s">
        <v>167</v>
      </c>
      <c r="K20" s="94"/>
      <c r="L20" s="94"/>
    </row>
    <row r="21" spans="1:12" x14ac:dyDescent="0.3">
      <c r="F21" s="9" t="s">
        <v>150</v>
      </c>
      <c r="G21" s="41">
        <f>SUM(Table8345[المبلغ])</f>
        <v>315</v>
      </c>
      <c r="J21" s="1" t="s">
        <v>166</v>
      </c>
      <c r="K21" s="1" t="s">
        <v>152</v>
      </c>
      <c r="L21" s="1" t="s">
        <v>6</v>
      </c>
    </row>
    <row r="22" spans="1:12" x14ac:dyDescent="0.3">
      <c r="J22" s="1">
        <v>289.75</v>
      </c>
      <c r="K22" s="1">
        <v>28</v>
      </c>
      <c r="L22" s="1">
        <f>J22*K22</f>
        <v>8113</v>
      </c>
    </row>
    <row r="25" spans="1:12" x14ac:dyDescent="0.3">
      <c r="K25" s="2">
        <v>11</v>
      </c>
    </row>
    <row r="27" spans="1:12" ht="35.25" x14ac:dyDescent="0.55000000000000004">
      <c r="A27" s="12" t="s">
        <v>167</v>
      </c>
      <c r="B27" s="13"/>
      <c r="C27" s="13"/>
      <c r="D27" s="13"/>
      <c r="E27" s="13"/>
      <c r="F27" s="13"/>
      <c r="G27" s="13"/>
      <c r="H27" s="13"/>
    </row>
    <row r="29" spans="1:12" x14ac:dyDescent="0.3">
      <c r="J29" s="54"/>
      <c r="K29" s="2">
        <v>18</v>
      </c>
    </row>
    <row r="30" spans="1:12" ht="36" x14ac:dyDescent="0.3">
      <c r="A30" s="17" t="s">
        <v>2</v>
      </c>
      <c r="B30" s="18" t="s">
        <v>152</v>
      </c>
      <c r="C30" s="18" t="s">
        <v>262</v>
      </c>
      <c r="D30" s="19" t="s">
        <v>263</v>
      </c>
      <c r="E30" s="19" t="s">
        <v>264</v>
      </c>
      <c r="F30" s="20" t="s">
        <v>7</v>
      </c>
    </row>
    <row r="31" spans="1:12" x14ac:dyDescent="0.3">
      <c r="A31" s="61" t="s">
        <v>261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3">
      <c r="A32" s="61"/>
      <c r="B32" s="14"/>
      <c r="C32" s="14"/>
      <c r="E32" s="1"/>
      <c r="F32" s="62"/>
    </row>
    <row r="33" spans="1:6" x14ac:dyDescent="0.3">
      <c r="A33" s="61"/>
      <c r="B33" s="14"/>
      <c r="C33" s="14"/>
      <c r="E33" s="1"/>
      <c r="F33" s="62"/>
    </row>
    <row r="34" spans="1:6" x14ac:dyDescent="0.3">
      <c r="A34" s="61"/>
      <c r="B34" s="1"/>
      <c r="C34" s="1"/>
      <c r="D34" s="1"/>
      <c r="E34" s="1"/>
      <c r="F34" s="62"/>
    </row>
    <row r="35" spans="1:6" x14ac:dyDescent="0.3">
      <c r="A35" s="61"/>
      <c r="B35" s="14"/>
      <c r="C35" s="14"/>
      <c r="E35" s="1"/>
      <c r="F35" s="62"/>
    </row>
    <row r="36" spans="1:6" x14ac:dyDescent="0.3">
      <c r="A36" s="61"/>
      <c r="B36" s="1"/>
      <c r="C36" s="1"/>
      <c r="D36" s="1"/>
      <c r="E36" s="1"/>
      <c r="F36" s="62"/>
    </row>
    <row r="37" spans="1:6" x14ac:dyDescent="0.3">
      <c r="A37" s="61"/>
      <c r="B37" s="14"/>
      <c r="C37" s="14"/>
      <c r="E37" s="1"/>
      <c r="F37" s="62"/>
    </row>
    <row r="38" spans="1:6" x14ac:dyDescent="0.3">
      <c r="A38" s="61"/>
      <c r="B38" s="1"/>
      <c r="C38" s="1"/>
      <c r="D38" s="1"/>
      <c r="E38" s="1"/>
      <c r="F38" s="62"/>
    </row>
    <row r="39" spans="1:6" x14ac:dyDescent="0.3">
      <c r="A39" s="61"/>
      <c r="B39" s="1"/>
      <c r="C39" s="1"/>
      <c r="D39" s="1"/>
      <c r="E39" s="1"/>
      <c r="F39" s="62"/>
    </row>
    <row r="40" spans="1:6" x14ac:dyDescent="0.3">
      <c r="A40" s="61"/>
      <c r="B40" s="14"/>
      <c r="C40" s="14"/>
      <c r="E40" s="1"/>
      <c r="F40" s="62"/>
    </row>
    <row r="41" spans="1:6" x14ac:dyDescent="0.3">
      <c r="A41" s="61"/>
      <c r="B41" s="1"/>
      <c r="C41" s="1"/>
      <c r="D41" s="1"/>
      <c r="E41" s="1"/>
      <c r="F41" s="62"/>
    </row>
    <row r="42" spans="1:6" x14ac:dyDescent="0.3">
      <c r="A42" s="61"/>
      <c r="B42" s="14"/>
      <c r="C42" s="14"/>
      <c r="E42" s="1"/>
      <c r="F42" s="62"/>
    </row>
    <row r="43" spans="1:6" x14ac:dyDescent="0.3">
      <c r="A43" s="61"/>
      <c r="B43" s="1"/>
      <c r="C43" s="32"/>
      <c r="D43" s="1"/>
      <c r="E43" s="32"/>
      <c r="F43" s="62"/>
    </row>
    <row r="44" spans="1:6" x14ac:dyDescent="0.3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2026-06-17T09:08:05Z</dcterms:modified>
  <cp:category/>
  <cp:contentStatus/>
</cp:coreProperties>
</file>