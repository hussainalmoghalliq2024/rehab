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AD0E9B22-C8CE-4558-9D7B-3AC629078A14}" xr6:coauthVersionLast="47" xr6:coauthVersionMax="47" xr10:uidLastSave="{00000000-0000-0000-0000-000000000000}"/>
  <bookViews>
    <workbookView xWindow="-108" yWindow="-108" windowWidth="23256" windowHeight="1245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المرهون'!$A$5:$H$41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9" l="1"/>
  <c r="G37" i="9"/>
  <c r="G39" i="9"/>
  <c r="G40" i="9"/>
  <c r="G34" i="9"/>
  <c r="G33" i="9"/>
  <c r="G32" i="9"/>
  <c r="L58" i="9"/>
  <c r="L53" i="9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68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1" i="9"/>
  <c r="G21" i="10"/>
  <c r="K28" i="10"/>
  <c r="L22" i="10"/>
  <c r="I5" i="7"/>
  <c r="H167" i="7" s="1"/>
  <c r="H169" i="7"/>
  <c r="E10" i="3"/>
  <c r="G43" i="9" l="1"/>
  <c r="G45" i="9" l="1"/>
</calcChain>
</file>

<file path=xl/sharedStrings.xml><?xml version="1.0" encoding="utf-8"?>
<sst xmlns="http://schemas.openxmlformats.org/spreadsheetml/2006/main" count="1733" uniqueCount="334">
  <si>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</si>
  <si>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</si>
  <si>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</si>
  <si>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</si>
  <si>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</si>
  <si>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</si>
  <si>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</si>
  <si>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</si>
  <si>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</si>
  <si>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</si>
  <si>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</si>
  <si>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</si>
  <si>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</si>
  <si>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</si>
  <si>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</si>
  <si>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</si>
  <si>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</si>
  <si>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</si>
  <si>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</si>
  <si>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</si>
  <si>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</si>
  <si>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</si>
  <si>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</si>
  <si>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</si>
  <si>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</si>
  <si>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</si>
  <si>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</si>
  <si>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</si>
  <si>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</si>
  <si>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</si>
  <si>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</si>
  <si>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</si>
  <si>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</si>
  <si>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</si>
  <si>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</si>
  <si>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</si>
  <si>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</si>
  <si>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</si>
  <si>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</si>
  <si>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</si>
  <si>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</si>
  <si>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</si>
  <si>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</si>
  <si>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</si>
  <si>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</si>
  <si>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</si>
  <si>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</si>
  <si>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</si>
  <si>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</si>
  <si>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</si>
  <si>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</si>
  <si>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</si>
  <si>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</si>
  <si>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</si>
  <si>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</si>
  <si>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</si>
  <si>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</si>
  <si>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</si>
  <si>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</si>
  <si>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</si>
  <si>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</si>
  <si>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</si>
  <si>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</si>
  <si>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</si>
  <si>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</si>
  <si>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</si>
  <si>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</si>
  <si>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</si>
  <si>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</si>
  <si>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</si>
  <si>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</si>
  <si>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</si>
  <si>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</si>
  <si>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</si>
  <si>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</si>
  <si>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</si>
  <si>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</si>
  <si>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</si>
  <si>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</si>
  <si>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</si>
  <si>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</si>
  <si>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</si>
  <si>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</si>
  <si>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</si>
  <si>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</si>
  <si>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</si>
  <si>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</si>
  <si>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</si>
  <si>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</si>
  <si>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</si>
  <si>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</si>
  <si>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</si>
  <si>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</si>
  <si>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</si>
  <si>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</si>
  <si>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</si>
  <si>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</si>
  <si>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</si>
  <si>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</si>
  <si>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</si>
  <si>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</si>
  <si>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</si>
  <si>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</si>
  <si>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</si>
  <si>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</si>
  <si>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</si>
  <si>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</si>
  <si>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</si>
  <si>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</si>
  <si>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</si>
  <si>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</si>
  <si>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</si>
  <si>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</si>
  <si>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</si>
  <si>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</si>
  <si>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</si>
  <si>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</si>
  <si>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</si>
  <si>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</si>
  <si>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</si>
  <si>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</si>
  <si>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</si>
  <si>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</si>
  <si>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</si>
  <si>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</si>
  <si>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</si>
  <si>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</si>
  <si>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</si>
  <si>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</si>
  <si>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</si>
  <si>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</si>
  <si>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</si>
  <si>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</si>
  <si>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</si>
  <si>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</si>
  <si>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</si>
  <si>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</si>
  <si>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</si>
  <si>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</si>
  <si>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</si>
  <si>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</si>
  <si>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</si>
  <si>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</si>
  <si>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</si>
  <si>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</si>
  <si>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</si>
  <si>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</si>
  <si>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</si>
  <si>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</si>
  <si>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</si>
  <si>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</si>
  <si>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</si>
  <si>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</si>
  <si>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</si>
  <si>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</si>
  <si>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</si>
  <si>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</si>
  <si>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</si>
  <si>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</si>
  <si>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</si>
  <si>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</si>
  <si>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</si>
  <si>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</si>
  <si>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</si>
  <si>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</si>
  <si>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</si>
  <si>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</si>
  <si>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</si>
  <si>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</si>
  <si>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</si>
  <si>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</si>
  <si>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</si>
  <si>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</si>
  <si>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</si>
  <si>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</si>
  <si>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</si>
  <si>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</si>
  <si>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</si>
  <si>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</si>
  <si>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</si>
  <si>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</si>
  <si>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</si>
  <si>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</si>
  <si>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</si>
  <si>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</si>
  <si>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</si>
  <si>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</si>
  <si>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</si>
  <si>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</si>
  <si>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</si>
  <si>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</si>
  <si>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</si>
  <si>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</si>
  <si>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</si>
  <si>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</si>
  <si>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</si>
  <si>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</si>
  <si>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</si>
  <si>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</si>
  <si>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</si>
  <si>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</si>
  <si>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</si>
  <si>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</si>
  <si>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</si>
  <si>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</si>
  <si>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</si>
  <si>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</si>
  <si>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</si>
  <si>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</si>
  <si>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</si>
  <si>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</si>
  <si>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</si>
  <si>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</si>
  <si>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</si>
  <si>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</si>
  <si>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</si>
  <si>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</si>
  <si>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</si>
  <si>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</si>
  <si>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</si>
  <si>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</si>
  <si>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</si>
  <si>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</si>
  <si>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</si>
  <si>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</si>
  <si>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</si>
  <si>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</si>
  <si>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</si>
  <si>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</si>
  <si>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</si>
  <si>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</si>
  <si>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</si>
  <si>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</si>
  <si>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</si>
  <si>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</si>
  <si>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</si>
  <si>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</si>
  <si>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</si>
  <si>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</si>
  <si>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</si>
  <si>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</si>
  <si>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</si>
  <si>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</si>
  <si>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</si>
  <si>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</si>
  <si>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</si>
  <si>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</si>
  <si>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</si>
  <si>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</si>
  <si>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</si>
  <si>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</si>
  <si>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</si>
  <si>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</si>
  <si>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</si>
  <si>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</si>
  <si>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</si>
  <si>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</si>
  <si>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</si>
  <si>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</si>
  <si>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</si>
  <si>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</si>
  <si>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</si>
  <si>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</si>
  <si>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</si>
  <si>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</si>
  <si>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</si>
  <si>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</si>
  <si>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</si>
  <si>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</si>
  <si>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</si>
  <si>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</si>
  <si>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</si>
  <si>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</si>
  <si>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</si>
  <si>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</si>
  <si>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</si>
  <si>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</si>
  <si>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</si>
  <si>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</si>
  <si>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</si>
  <si>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</si>
  <si>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</si>
  <si>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</si>
  <si>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</si>
  <si>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</si>
  <si>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</si>
  <si>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</si>
  <si>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</si>
  <si>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</si>
  <si>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</si>
  <si>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</si>
  <si>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</si>
  <si>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</si>
  <si>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</si>
  <si>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</si>
  <si>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</si>
  <si>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</si>
  <si>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</si>
  <si>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</si>
  <si>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</si>
  <si>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</si>
  <si>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</si>
  <si>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</si>
  <si>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</si>
  <si>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</si>
  <si>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</si>
  <si>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</si>
  <si>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</si>
  <si>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</si>
  <si>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</si>
  <si>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</si>
  <si>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</si>
  <si>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</si>
  <si>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</si>
  <si>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</si>
  <si>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</si>
  <si>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</si>
  <si>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</si>
  <si>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</si>
  <si>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</si>
  <si>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</si>
  <si>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</si>
  <si>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</si>
  <si>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</si>
  <si>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</si>
  <si>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</si>
  <si>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</si>
  <si>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</si>
  <si>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</si>
  <si>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</si>
  <si>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</si>
  <si>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</si>
  <si>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 xml:space="preserve">صبية سقف الدور الأاو
80 م3
4000 psi
289.75 ريال للمتر المكعب </t>
  </si>
  <si>
    <t>ماء بارد لصبية سقف الدور الأول
80 م3
 5.75 ريال لكل متر مكعب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</si>
</sst>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3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0" fontId="1" fillId="2" borderId="10" xfId="0" applyFont="1" applyFill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5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64" totalsRowShown="0" headerRowDxfId="68" dataDxfId="67">
  <autoFilter ref="A4:P164" xr:uid="{02B48DBA-1A03-4B0D-8129-911F1B46E872}"/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1" totalsRowShown="0" headerRowDxfId="50" headerRowBorderDxfId="49" tableBorderDxfId="48" totalsRowBorderDxfId="47">
  <autoFilter ref="A5:I41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73"/>
  <sheetViews>
    <sheetView rightToLeft="1" tabSelected="1" topLeftCell="A134" zoomScale="85" zoomScaleNormal="85" workbookViewId="0">
      <selection activeCell="A140" sqref="A140:XFD140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71" t="s">
        <v>125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ht="121.8" x14ac:dyDescent="0.3">
      <c r="A130" s="69">
        <v>46228</v>
      </c>
      <c r="B130" s="74" t="s">
        <v>319</v>
      </c>
      <c r="C130" s="73" t="s">
        <v>235</v>
      </c>
      <c r="D130" s="71" t="s">
        <v>9</v>
      </c>
      <c r="E130" s="71" t="s">
        <v>81</v>
      </c>
      <c r="F130" s="71" t="s">
        <v>115</v>
      </c>
      <c r="G130" s="71"/>
      <c r="H130" s="71" t="s">
        <v>92</v>
      </c>
      <c r="I130" s="72">
        <v>31640</v>
      </c>
      <c r="J130" s="71" t="s">
        <v>53</v>
      </c>
      <c r="K130" s="71" t="s">
        <v>234</v>
      </c>
      <c r="L130" s="71" t="s">
        <v>55</v>
      </c>
      <c r="M130" s="71" t="s">
        <v>310</v>
      </c>
      <c r="N130" s="69">
        <v>46183</v>
      </c>
      <c r="O130" s="71"/>
      <c r="P130" s="71" t="s">
        <v>10</v>
      </c>
    </row>
    <row r="131" spans="1:16" x14ac:dyDescent="0.3">
      <c r="A131" s="69">
        <v>46231</v>
      </c>
      <c r="B131" s="70" t="s">
        <v>320</v>
      </c>
      <c r="C131" s="71" t="s">
        <v>27</v>
      </c>
      <c r="D131" s="71" t="s">
        <v>9</v>
      </c>
      <c r="E131" s="71" t="s">
        <v>72</v>
      </c>
      <c r="F131" s="71" t="s">
        <v>125</v>
      </c>
      <c r="G131" s="57"/>
      <c r="H131" s="57" t="s">
        <v>92</v>
      </c>
      <c r="I131" s="55">
        <v>250</v>
      </c>
      <c r="J131" s="71" t="s">
        <v>118</v>
      </c>
      <c r="K131" s="57" t="s">
        <v>234</v>
      </c>
      <c r="L131" s="57" t="s">
        <v>221</v>
      </c>
      <c r="M131" s="57"/>
      <c r="N131" s="57"/>
      <c r="O131" s="57"/>
      <c r="P131" s="57"/>
    </row>
    <row r="132" spans="1:16" ht="34.799999999999997" x14ac:dyDescent="0.3">
      <c r="A132" s="69">
        <v>46233</v>
      </c>
      <c r="B132" s="74" t="s">
        <v>321</v>
      </c>
      <c r="C132" s="73" t="s">
        <v>235</v>
      </c>
      <c r="D132" s="71" t="s">
        <v>9</v>
      </c>
      <c r="E132" s="71" t="s">
        <v>81</v>
      </c>
      <c r="F132" s="71" t="s">
        <v>115</v>
      </c>
      <c r="G132" s="71"/>
      <c r="H132" s="71" t="s">
        <v>92</v>
      </c>
      <c r="I132" s="72">
        <v>2621.5</v>
      </c>
      <c r="J132" s="71" t="s">
        <v>53</v>
      </c>
      <c r="K132" s="71" t="s">
        <v>234</v>
      </c>
      <c r="L132" s="71" t="s">
        <v>55</v>
      </c>
      <c r="M132" s="71" t="s">
        <v>322</v>
      </c>
      <c r="N132" s="69">
        <v>46183</v>
      </c>
      <c r="O132" s="71"/>
      <c r="P132" s="71" t="s">
        <v>10</v>
      </c>
    </row>
    <row r="133" spans="1:16" ht="69.599999999999994" x14ac:dyDescent="0.3">
      <c r="A133" s="69">
        <v>46233</v>
      </c>
      <c r="B133" s="74" t="s">
        <v>324</v>
      </c>
      <c r="C133" s="73" t="s">
        <v>235</v>
      </c>
      <c r="D133" s="71" t="s">
        <v>9</v>
      </c>
      <c r="E133" s="71" t="s">
        <v>81</v>
      </c>
      <c r="F133" s="71" t="s">
        <v>115</v>
      </c>
      <c r="G133" s="71"/>
      <c r="H133" s="71" t="s">
        <v>92</v>
      </c>
      <c r="I133" s="72">
        <v>10062.5</v>
      </c>
      <c r="J133" s="71" t="s">
        <v>53</v>
      </c>
      <c r="K133" s="71" t="s">
        <v>234</v>
      </c>
      <c r="L133" s="71" t="s">
        <v>55</v>
      </c>
      <c r="M133" s="71" t="s">
        <v>323</v>
      </c>
      <c r="N133" s="69">
        <v>46183</v>
      </c>
      <c r="O133" s="71"/>
      <c r="P133" s="71" t="s">
        <v>10</v>
      </c>
    </row>
    <row r="134" spans="1:16" ht="34.799999999999997" x14ac:dyDescent="0.3">
      <c r="A134" s="69">
        <v>46239</v>
      </c>
      <c r="B134" s="74" t="s">
        <v>325</v>
      </c>
      <c r="C134" s="73" t="s">
        <v>326</v>
      </c>
      <c r="D134" s="71" t="s">
        <v>9</v>
      </c>
      <c r="E134" s="71" t="s">
        <v>81</v>
      </c>
      <c r="F134" s="71" t="s">
        <v>232</v>
      </c>
      <c r="G134" s="71" t="s">
        <v>232</v>
      </c>
      <c r="H134" s="71" t="s">
        <v>92</v>
      </c>
      <c r="I134" s="72">
        <v>4663.3</v>
      </c>
      <c r="J134" s="71" t="s">
        <v>53</v>
      </c>
      <c r="K134" s="71" t="s">
        <v>234</v>
      </c>
      <c r="L134" s="71" t="s">
        <v>154</v>
      </c>
      <c r="M134" s="71"/>
      <c r="N134" s="71"/>
      <c r="O134" s="71"/>
      <c r="P134" s="71" t="s">
        <v>10</v>
      </c>
    </row>
    <row r="135" spans="1:16" x14ac:dyDescent="0.3">
      <c r="A135" s="69">
        <v>46221</v>
      </c>
      <c r="B135" s="74" t="s">
        <v>327</v>
      </c>
      <c r="C135" s="71" t="s">
        <v>166</v>
      </c>
      <c r="D135" s="71" t="s">
        <v>9</v>
      </c>
      <c r="E135" s="71" t="s">
        <v>81</v>
      </c>
      <c r="F135" s="71" t="s">
        <v>139</v>
      </c>
      <c r="G135" s="71" t="s">
        <v>139</v>
      </c>
      <c r="H135" s="71" t="s">
        <v>92</v>
      </c>
      <c r="I135" s="72">
        <v>144</v>
      </c>
      <c r="J135" s="71" t="s">
        <v>53</v>
      </c>
      <c r="K135" s="71" t="s">
        <v>234</v>
      </c>
      <c r="L135" s="71" t="s">
        <v>61</v>
      </c>
      <c r="M135" s="71"/>
      <c r="N135" s="71"/>
      <c r="O135" s="71"/>
      <c r="P135" s="71" t="s">
        <v>10</v>
      </c>
    </row>
    <row r="136" spans="1:16" x14ac:dyDescent="0.3">
      <c r="A136" s="69">
        <v>46242</v>
      </c>
      <c r="B136" s="74" t="s">
        <v>328</v>
      </c>
      <c r="C136" s="71" t="s">
        <v>166</v>
      </c>
      <c r="D136" s="71" t="s">
        <v>9</v>
      </c>
      <c r="E136" s="71" t="s">
        <v>81</v>
      </c>
      <c r="F136" s="71" t="s">
        <v>139</v>
      </c>
      <c r="G136" s="71" t="s">
        <v>139</v>
      </c>
      <c r="H136" s="71" t="s">
        <v>92</v>
      </c>
      <c r="I136" s="72">
        <v>150</v>
      </c>
      <c r="J136" s="71" t="s">
        <v>53</v>
      </c>
      <c r="K136" s="71" t="s">
        <v>234</v>
      </c>
      <c r="L136" s="71" t="s">
        <v>61</v>
      </c>
      <c r="M136" s="71"/>
      <c r="N136" s="71"/>
      <c r="O136" s="71"/>
      <c r="P136" s="71" t="s">
        <v>10</v>
      </c>
    </row>
    <row r="137" spans="1:16" s="75" customFormat="1" ht="69.599999999999994" x14ac:dyDescent="0.3">
      <c r="A137" s="69">
        <v>46240</v>
      </c>
      <c r="B137" s="74" t="s">
        <v>332</v>
      </c>
      <c r="C137" s="73" t="s">
        <v>126</v>
      </c>
      <c r="D137" s="71" t="s">
        <v>9</v>
      </c>
      <c r="E137" s="71" t="s">
        <v>79</v>
      </c>
      <c r="F137" s="71" t="s">
        <v>236</v>
      </c>
      <c r="G137" s="71" t="s">
        <v>283</v>
      </c>
      <c r="H137" s="71" t="s">
        <v>92</v>
      </c>
      <c r="I137" s="72">
        <v>23180</v>
      </c>
      <c r="J137" s="71" t="s">
        <v>53</v>
      </c>
      <c r="K137" s="71" t="s">
        <v>234</v>
      </c>
      <c r="L137" s="71" t="s">
        <v>55</v>
      </c>
      <c r="M137" s="71"/>
      <c r="N137" s="71"/>
      <c r="O137" s="71"/>
      <c r="P137" s="71" t="s">
        <v>10</v>
      </c>
    </row>
    <row r="138" spans="1:16" ht="52.2" x14ac:dyDescent="0.3">
      <c r="A138" s="69">
        <v>46240</v>
      </c>
      <c r="B138" s="74" t="s">
        <v>333</v>
      </c>
      <c r="C138" s="73" t="s">
        <v>126</v>
      </c>
      <c r="D138" s="71" t="s">
        <v>9</v>
      </c>
      <c r="E138" s="71" t="s">
        <v>79</v>
      </c>
      <c r="F138" s="71" t="s">
        <v>236</v>
      </c>
      <c r="G138" s="71" t="s">
        <v>270</v>
      </c>
      <c r="H138" s="71" t="s">
        <v>92</v>
      </c>
      <c r="I138" s="72">
        <v>460</v>
      </c>
      <c r="J138" s="71" t="s">
        <v>53</v>
      </c>
      <c r="K138" s="71" t="s">
        <v>234</v>
      </c>
      <c r="L138" s="71" t="s">
        <v>55</v>
      </c>
      <c r="M138" s="71"/>
      <c r="N138" s="71"/>
      <c r="O138" s="71"/>
      <c r="P138" s="71" t="s">
        <v>10</v>
      </c>
    </row>
    <row r="139" spans="1:16" x14ac:dyDescent="0.3">
      <c r="A139" s="69">
        <v>46244</v>
      </c>
      <c r="B139" s="90" t="s">
        <v>104</v>
      </c>
      <c r="C139" s="91" t="s">
        <v>27</v>
      </c>
      <c r="D139" s="71" t="s">
        <v>9</v>
      </c>
      <c r="E139" s="91" t="s">
        <v>72</v>
      </c>
      <c r="F139" s="91" t="s">
        <v>73</v>
      </c>
      <c r="G139" s="91"/>
      <c r="H139" s="91" t="s">
        <v>92</v>
      </c>
      <c r="I139" s="92">
        <v>20000</v>
      </c>
      <c r="J139" s="91" t="s">
        <v>118</v>
      </c>
      <c r="K139" s="91" t="s">
        <v>234</v>
      </c>
      <c r="L139" s="91" t="s">
        <v>221</v>
      </c>
      <c r="M139" s="91"/>
      <c r="N139" s="91"/>
      <c r="O139" s="91"/>
      <c r="P139" s="71" t="s">
        <v>10</v>
      </c>
    </row>
    <row r="140" spans="1:16" x14ac:dyDescent="0.3">
      <c r="A140" s="69"/>
      <c r="B140" s="90"/>
      <c r="C140" s="91"/>
      <c r="D140" s="71"/>
      <c r="E140" s="91"/>
      <c r="F140" s="91"/>
      <c r="G140" s="91"/>
      <c r="H140" s="91"/>
      <c r="I140" s="92"/>
      <c r="J140" s="91"/>
      <c r="K140" s="91"/>
      <c r="L140" s="91"/>
      <c r="M140" s="91"/>
      <c r="N140" s="91"/>
      <c r="O140" s="91"/>
      <c r="P140" s="71"/>
    </row>
    <row r="141" spans="1:16" x14ac:dyDescent="0.3">
      <c r="A141" s="69"/>
      <c r="B141" s="90"/>
      <c r="C141" s="91"/>
      <c r="D141" s="71"/>
      <c r="E141" s="91"/>
      <c r="F141" s="91"/>
      <c r="G141" s="91"/>
      <c r="H141" s="91"/>
      <c r="I141" s="92"/>
      <c r="J141" s="91"/>
      <c r="K141" s="91"/>
      <c r="L141" s="91"/>
      <c r="M141" s="91"/>
      <c r="N141" s="91"/>
      <c r="O141" s="91"/>
      <c r="P141" s="71"/>
    </row>
    <row r="142" spans="1:16" x14ac:dyDescent="0.3">
      <c r="A142" s="69"/>
      <c r="B142" s="90"/>
      <c r="C142" s="91"/>
      <c r="D142" s="71"/>
      <c r="E142" s="91"/>
      <c r="F142" s="91"/>
      <c r="G142" s="91"/>
      <c r="H142" s="91"/>
      <c r="I142" s="92"/>
      <c r="J142" s="91"/>
      <c r="K142" s="91"/>
      <c r="L142" s="91"/>
      <c r="M142" s="91"/>
      <c r="N142" s="91"/>
      <c r="O142" s="91"/>
      <c r="P142" s="71"/>
    </row>
    <row r="143" spans="1:16" x14ac:dyDescent="0.3">
      <c r="A143" s="69"/>
      <c r="B143" s="70"/>
      <c r="C143" s="71"/>
      <c r="D143" s="71"/>
      <c r="E143" s="71"/>
      <c r="F143" s="71"/>
      <c r="G143" s="57"/>
      <c r="H143" s="71"/>
      <c r="I143" s="72"/>
      <c r="J143" s="71"/>
      <c r="K143" s="57"/>
      <c r="L143" s="71"/>
      <c r="M143" s="71"/>
      <c r="N143" s="71"/>
      <c r="O143" s="71"/>
      <c r="P143" s="71"/>
    </row>
    <row r="144" spans="1:16" x14ac:dyDescent="0.3">
      <c r="A144" s="69"/>
      <c r="B144" s="70"/>
      <c r="C144" s="71"/>
      <c r="D144" s="71"/>
      <c r="E144" s="71"/>
      <c r="F144" s="71"/>
      <c r="G144" s="71"/>
      <c r="H144" s="71"/>
      <c r="I144" s="72"/>
      <c r="J144" s="71"/>
      <c r="K144" s="71"/>
      <c r="L144" s="71"/>
      <c r="M144" s="71"/>
      <c r="N144" s="71"/>
      <c r="O144" s="71"/>
      <c r="P144" s="71"/>
    </row>
    <row r="145" spans="1:16" s="36" customFormat="1" x14ac:dyDescent="0.3">
      <c r="A145" s="28" t="s">
        <v>26</v>
      </c>
      <c r="B145" s="40" t="s">
        <v>145</v>
      </c>
      <c r="C145" s="29" t="s">
        <v>142</v>
      </c>
      <c r="D145" s="29" t="s">
        <v>26</v>
      </c>
      <c r="E145" s="29" t="s">
        <v>143</v>
      </c>
      <c r="F145" s="29" t="s">
        <v>143</v>
      </c>
      <c r="G145" s="29"/>
      <c r="H145" s="29" t="s">
        <v>92</v>
      </c>
      <c r="I145" s="30">
        <v>20700</v>
      </c>
      <c r="J145" s="29"/>
      <c r="K145" s="29" t="s">
        <v>234</v>
      </c>
      <c r="L145" s="29"/>
      <c r="M145" s="29"/>
      <c r="N145" s="29"/>
      <c r="O145" s="29"/>
      <c r="P145" s="29"/>
    </row>
    <row r="146" spans="1:16" s="36" customFormat="1" x14ac:dyDescent="0.3">
      <c r="A146" s="28" t="s">
        <v>26</v>
      </c>
      <c r="B146" s="40" t="s">
        <v>146</v>
      </c>
      <c r="C146" s="29" t="s">
        <v>142</v>
      </c>
      <c r="D146" s="29" t="s">
        <v>26</v>
      </c>
      <c r="E146" s="29" t="s">
        <v>143</v>
      </c>
      <c r="F146" s="29" t="s">
        <v>143</v>
      </c>
      <c r="G146" s="29"/>
      <c r="H146" s="29" t="s">
        <v>92</v>
      </c>
      <c r="I146" s="30">
        <v>18000</v>
      </c>
      <c r="J146" s="29"/>
      <c r="K146" s="29" t="s">
        <v>234</v>
      </c>
      <c r="L146" s="29"/>
      <c r="M146" s="29"/>
      <c r="N146" s="29"/>
      <c r="O146" s="29"/>
      <c r="P146" s="29"/>
    </row>
    <row r="147" spans="1:16" s="36" customFormat="1" x14ac:dyDescent="0.3">
      <c r="A147" s="28" t="s">
        <v>26</v>
      </c>
      <c r="B147" s="40" t="s">
        <v>147</v>
      </c>
      <c r="C147" s="29" t="s">
        <v>142</v>
      </c>
      <c r="D147" s="29" t="s">
        <v>26</v>
      </c>
      <c r="E147" s="29" t="s">
        <v>143</v>
      </c>
      <c r="F147" s="29" t="s">
        <v>143</v>
      </c>
      <c r="G147" s="29"/>
      <c r="H147" s="29" t="s">
        <v>92</v>
      </c>
      <c r="I147" s="30">
        <v>5150</v>
      </c>
      <c r="J147" s="29"/>
      <c r="K147" s="29" t="s">
        <v>234</v>
      </c>
      <c r="L147" s="29"/>
      <c r="M147" s="29"/>
      <c r="N147" s="29"/>
      <c r="O147" s="29"/>
      <c r="P147" s="29"/>
    </row>
    <row r="148" spans="1:16" s="36" customFormat="1" x14ac:dyDescent="0.3">
      <c r="A148" s="28" t="s">
        <v>26</v>
      </c>
      <c r="B148" s="60" t="s">
        <v>87</v>
      </c>
      <c r="C148" s="29" t="s">
        <v>25</v>
      </c>
      <c r="D148" s="29" t="s">
        <v>26</v>
      </c>
      <c r="E148" s="29" t="s">
        <v>77</v>
      </c>
      <c r="F148" s="29" t="s">
        <v>109</v>
      </c>
      <c r="G148" s="29"/>
      <c r="H148" s="29" t="s">
        <v>92</v>
      </c>
      <c r="I148" s="30">
        <v>4025</v>
      </c>
      <c r="J148" s="29"/>
      <c r="K148" s="29" t="s">
        <v>234</v>
      </c>
      <c r="L148" s="29"/>
      <c r="M148" s="29"/>
      <c r="N148" s="29"/>
      <c r="O148" s="29"/>
      <c r="P148" s="29"/>
    </row>
    <row r="149" spans="1:16" s="36" customFormat="1" x14ac:dyDescent="0.3">
      <c r="A149" s="28" t="s">
        <v>26</v>
      </c>
      <c r="B149" s="60" t="s">
        <v>88</v>
      </c>
      <c r="C149" s="29" t="s">
        <v>25</v>
      </c>
      <c r="D149" s="29" t="s">
        <v>26</v>
      </c>
      <c r="E149" s="29" t="s">
        <v>77</v>
      </c>
      <c r="F149" s="29" t="s">
        <v>109</v>
      </c>
      <c r="G149" s="29"/>
      <c r="H149" s="29" t="s">
        <v>92</v>
      </c>
      <c r="I149" s="30">
        <v>2300</v>
      </c>
      <c r="J149" s="29"/>
      <c r="K149" s="29" t="s">
        <v>234</v>
      </c>
      <c r="L149" s="29"/>
      <c r="M149" s="29"/>
      <c r="N149" s="29"/>
      <c r="O149" s="29"/>
      <c r="P149" s="29"/>
    </row>
    <row r="150" spans="1:16" s="36" customFormat="1" x14ac:dyDescent="0.3">
      <c r="A150" s="28" t="s">
        <v>26</v>
      </c>
      <c r="B150" s="60" t="s">
        <v>105</v>
      </c>
      <c r="C150" s="29" t="s">
        <v>27</v>
      </c>
      <c r="D150" s="29" t="s">
        <v>26</v>
      </c>
      <c r="E150" s="29" t="s">
        <v>72</v>
      </c>
      <c r="F150" s="29" t="s">
        <v>73</v>
      </c>
      <c r="G150" s="29"/>
      <c r="H150" s="29" t="s">
        <v>92</v>
      </c>
      <c r="I150" s="30">
        <v>15000</v>
      </c>
      <c r="J150" s="29"/>
      <c r="K150" s="29" t="s">
        <v>234</v>
      </c>
      <c r="L150" s="29"/>
      <c r="M150" s="29"/>
      <c r="N150" s="29"/>
      <c r="O150" s="29"/>
      <c r="P150" s="29"/>
    </row>
    <row r="151" spans="1:16" s="36" customFormat="1" x14ac:dyDescent="0.3">
      <c r="A151" s="28" t="s">
        <v>26</v>
      </c>
      <c r="B151" s="60" t="s">
        <v>106</v>
      </c>
      <c r="C151" s="29" t="s">
        <v>27</v>
      </c>
      <c r="D151" s="29" t="s">
        <v>26</v>
      </c>
      <c r="E151" s="29" t="s">
        <v>72</v>
      </c>
      <c r="F151" s="29" t="s">
        <v>73</v>
      </c>
      <c r="G151" s="29"/>
      <c r="H151" s="29" t="s">
        <v>92</v>
      </c>
      <c r="I151" s="30">
        <v>15000</v>
      </c>
      <c r="J151" s="29"/>
      <c r="K151" s="29" t="s">
        <v>234</v>
      </c>
      <c r="L151" s="29"/>
      <c r="M151" s="29"/>
      <c r="N151" s="29"/>
      <c r="O151" s="29"/>
      <c r="P151" s="29"/>
    </row>
    <row r="152" spans="1:16" s="36" customFormat="1" x14ac:dyDescent="0.3">
      <c r="A152" s="28" t="s">
        <v>26</v>
      </c>
      <c r="B152" s="60" t="s">
        <v>107</v>
      </c>
      <c r="C152" s="29" t="s">
        <v>27</v>
      </c>
      <c r="D152" s="29" t="s">
        <v>26</v>
      </c>
      <c r="E152" s="29" t="s">
        <v>72</v>
      </c>
      <c r="F152" s="29" t="s">
        <v>73</v>
      </c>
      <c r="G152" s="29"/>
      <c r="H152" s="29" t="s">
        <v>92</v>
      </c>
      <c r="I152" s="30">
        <v>10000</v>
      </c>
      <c r="J152" s="29"/>
      <c r="K152" s="29" t="s">
        <v>234</v>
      </c>
      <c r="L152" s="29"/>
      <c r="M152" s="29"/>
      <c r="N152" s="29"/>
      <c r="O152" s="29"/>
      <c r="P152" s="29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s="36" customFormat="1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s="36" customFormat="1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6" spans="1:16" s="36" customFormat="1" x14ac:dyDescent="0.3">
      <c r="A156" s="56"/>
      <c r="B156" s="59"/>
      <c r="C156" s="57"/>
      <c r="D156" s="57"/>
      <c r="E156" s="57"/>
      <c r="F156" s="57"/>
      <c r="G156" s="57"/>
      <c r="H156" s="57"/>
      <c r="I156" s="55"/>
      <c r="J156" s="57"/>
      <c r="K156" s="57"/>
      <c r="L156" s="57"/>
      <c r="M156" s="57"/>
      <c r="N156" s="57"/>
      <c r="O156" s="57"/>
      <c r="P156" s="57"/>
    </row>
    <row r="157" spans="1:16" s="36" customFormat="1" x14ac:dyDescent="0.3">
      <c r="A157" s="56"/>
      <c r="B157" s="59"/>
      <c r="C157" s="57"/>
      <c r="D157" s="57"/>
      <c r="E157" s="57"/>
      <c r="F157" s="57"/>
      <c r="G157" s="57"/>
      <c r="H157" s="57"/>
      <c r="I157" s="55"/>
      <c r="J157" s="57"/>
      <c r="K157" s="57"/>
      <c r="L157" s="57"/>
      <c r="M157" s="57"/>
      <c r="N157" s="57"/>
      <c r="O157" s="57"/>
      <c r="P157" s="57"/>
    </row>
    <row r="158" spans="1:16" s="36" customFormat="1" x14ac:dyDescent="0.3">
      <c r="A158" s="56"/>
      <c r="B158" s="59"/>
      <c r="C158" s="57"/>
      <c r="D158" s="57"/>
      <c r="E158" s="57"/>
      <c r="F158" s="57"/>
      <c r="G158" s="57"/>
      <c r="H158" s="57"/>
      <c r="I158" s="55"/>
      <c r="J158" s="57"/>
      <c r="K158" s="57"/>
      <c r="L158" s="57"/>
      <c r="M158" s="57"/>
      <c r="N158" s="57"/>
      <c r="O158" s="57"/>
      <c r="P158" s="57"/>
    </row>
    <row r="159" spans="1:16" s="36" customFormat="1" x14ac:dyDescent="0.3">
      <c r="A159" s="56"/>
      <c r="B159" s="59"/>
      <c r="C159" s="57"/>
      <c r="D159" s="57"/>
      <c r="E159" s="57"/>
      <c r="F159" s="57"/>
      <c r="G159" s="57"/>
      <c r="H159" s="57"/>
      <c r="I159" s="55"/>
      <c r="J159" s="57"/>
      <c r="K159" s="57"/>
      <c r="L159" s="57"/>
      <c r="M159" s="57"/>
      <c r="N159" s="57"/>
      <c r="O159" s="57"/>
      <c r="P159" s="57"/>
    </row>
    <row r="160" spans="1:16" s="36" customFormat="1" x14ac:dyDescent="0.3">
      <c r="A160" s="56"/>
      <c r="B160" s="59"/>
      <c r="C160" s="57"/>
      <c r="D160" s="57"/>
      <c r="E160" s="57"/>
      <c r="F160" s="57"/>
      <c r="G160" s="57"/>
      <c r="H160" s="57"/>
      <c r="I160" s="55"/>
      <c r="J160" s="57"/>
      <c r="K160" s="57"/>
      <c r="L160" s="57"/>
      <c r="M160" s="57"/>
      <c r="N160" s="57"/>
      <c r="O160" s="57"/>
      <c r="P160" s="57"/>
    </row>
    <row r="161" spans="1:16" s="36" customFormat="1" x14ac:dyDescent="0.3">
      <c r="A161" s="56"/>
      <c r="B161" s="59"/>
      <c r="C161" s="57"/>
      <c r="D161" s="57"/>
      <c r="E161" s="57"/>
      <c r="F161" s="57"/>
      <c r="G161" s="57"/>
      <c r="H161" s="57"/>
      <c r="I161" s="55"/>
      <c r="J161" s="57"/>
      <c r="K161" s="57"/>
      <c r="L161" s="57"/>
      <c r="M161" s="57"/>
      <c r="N161" s="57"/>
      <c r="O161" s="57"/>
      <c r="P161" s="57"/>
    </row>
    <row r="162" spans="1:16" s="36" customFormat="1" x14ac:dyDescent="0.3">
      <c r="A162" s="56"/>
      <c r="B162" s="59"/>
      <c r="C162" s="57"/>
      <c r="D162" s="57"/>
      <c r="E162" s="57"/>
      <c r="F162" s="57"/>
      <c r="G162" s="57"/>
      <c r="H162" s="57"/>
      <c r="I162" s="55"/>
      <c r="J162" s="57"/>
      <c r="K162" s="57"/>
      <c r="L162" s="57"/>
      <c r="M162" s="57"/>
      <c r="N162" s="57"/>
      <c r="O162" s="57"/>
      <c r="P162" s="57"/>
    </row>
    <row r="163" spans="1:16" x14ac:dyDescent="0.3">
      <c r="A163" s="56"/>
      <c r="B163" s="59"/>
      <c r="C163" s="57"/>
      <c r="D163" s="57"/>
      <c r="E163" s="57"/>
      <c r="F163" s="57"/>
      <c r="G163" s="57"/>
      <c r="H163" s="57"/>
      <c r="I163" s="55"/>
      <c r="J163" s="57"/>
      <c r="K163" s="57"/>
      <c r="L163" s="57"/>
      <c r="M163" s="57"/>
      <c r="N163" s="57"/>
      <c r="O163" s="57"/>
      <c r="P163" s="57"/>
    </row>
    <row r="164" spans="1:16" x14ac:dyDescent="0.3">
      <c r="A164" s="56"/>
      <c r="B164" s="59"/>
      <c r="C164" s="57"/>
      <c r="D164" s="57"/>
      <c r="E164" s="57"/>
      <c r="F164" s="57"/>
      <c r="G164" s="57"/>
      <c r="H164" s="57"/>
      <c r="I164" s="55"/>
      <c r="J164" s="57"/>
      <c r="K164" s="57"/>
      <c r="L164" s="57"/>
      <c r="M164" s="57"/>
      <c r="N164" s="57"/>
      <c r="O164" s="57"/>
      <c r="P164" s="57"/>
    </row>
    <row r="166" spans="1:16" ht="18" thickBot="1" x14ac:dyDescent="0.35"/>
    <row r="167" spans="1:16" ht="25.8" thickTop="1" thickBot="1" x14ac:dyDescent="0.35">
      <c r="F167" s="80"/>
      <c r="G167" s="37" t="s">
        <v>227</v>
      </c>
      <c r="H167" s="64">
        <f>SUMIF(D2:D1049,"مدفوع",I2:I1049)-748000</f>
        <v>749240.54999999981</v>
      </c>
    </row>
    <row r="168" spans="1:16" ht="25.8" thickTop="1" thickBot="1" x14ac:dyDescent="0.35">
      <c r="E168" s="67"/>
      <c r="F168" s="80"/>
      <c r="G168" s="38" t="s">
        <v>226</v>
      </c>
      <c r="H168" s="65">
        <f>SUMIF(D2:D1049,"مستقبلي",I2:I1049)</f>
        <v>90175</v>
      </c>
    </row>
    <row r="169" spans="1:16" ht="25.8" thickTop="1" thickBot="1" x14ac:dyDescent="0.35">
      <c r="E169" s="67"/>
      <c r="F169" s="80"/>
      <c r="G169" s="39" t="s">
        <v>225</v>
      </c>
      <c r="H169" s="66">
        <f>SUMIF(D2:D1049,"مدفوع",I2:I1049)</f>
        <v>1497240.5499999998</v>
      </c>
    </row>
    <row r="170" spans="1:16" ht="18" thickTop="1" x14ac:dyDescent="0.3">
      <c r="E170" s="67"/>
    </row>
    <row r="171" spans="1:16" x14ac:dyDescent="0.3">
      <c r="E171" s="67"/>
    </row>
    <row r="173" spans="1:16" x14ac:dyDescent="0.3">
      <c r="E173" s="68"/>
      <c r="H173" s="63"/>
    </row>
  </sheetData>
  <mergeCells count="1">
    <mergeCell ref="A2:P2"/>
  </mergeCells>
  <dataValidations count="1">
    <dataValidation type="list" allowBlank="1" showInputMessage="1" showErrorMessage="1" sqref="D5:D164" xr:uid="{8DD4A2C2-2D88-4DA6-AAB9-88AA2C531F27}">
      <formula1>$D$5:$D$164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M58"/>
  <sheetViews>
    <sheetView rightToLeft="1" topLeftCell="A31" zoomScaleNormal="100" workbookViewId="0">
      <selection activeCell="F40" sqref="F4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3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3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3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>
        <v>289.75</v>
      </c>
      <c r="F35" s="44"/>
      <c r="G35" s="45">
        <v>955.5</v>
      </c>
      <c r="H35" s="46" t="s">
        <v>151</v>
      </c>
    </row>
    <row r="36" spans="1:13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>
        <v>289.75</v>
      </c>
      <c r="F36" s="44"/>
      <c r="G36" s="45">
        <v>24000</v>
      </c>
      <c r="H36" s="46" t="s">
        <v>151</v>
      </c>
    </row>
    <row r="37" spans="1:13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13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13" x14ac:dyDescent="0.4">
      <c r="A39" s="15"/>
      <c r="B39" s="44"/>
      <c r="C39" s="84"/>
      <c r="D39" s="8"/>
      <c r="E39" s="33"/>
      <c r="F39" s="8"/>
      <c r="G39" s="45">
        <f>Table83[[#This Row],[سعر المتر]]*Table83[[#This Row],[الكمية]]</f>
        <v>0</v>
      </c>
      <c r="H39" s="16"/>
    </row>
    <row r="40" spans="1:13" x14ac:dyDescent="0.4">
      <c r="A40" s="15"/>
      <c r="B40" s="44"/>
      <c r="C40" s="84"/>
      <c r="D40" s="8"/>
      <c r="E40" s="33"/>
      <c r="F40" s="8"/>
      <c r="G40" s="45">
        <f>Table83[[#This Row],[سعر المتر]]*Table83[[#This Row],[الكمية]]</f>
        <v>0</v>
      </c>
      <c r="H40" s="16"/>
    </row>
    <row r="41" spans="1:13" x14ac:dyDescent="0.4">
      <c r="A41" s="31"/>
      <c r="B41" s="32"/>
      <c r="C41" s="32"/>
      <c r="D41" s="33"/>
      <c r="E41" s="33"/>
      <c r="F41" s="33"/>
      <c r="G41" s="42">
        <f>Table83[[#This Row],[سعر المتر]]*Table83[[#This Row],[الكمية]]</f>
        <v>0</v>
      </c>
      <c r="H41" s="35"/>
    </row>
    <row r="42" spans="1:13" x14ac:dyDescent="0.4">
      <c r="J42" s="86"/>
      <c r="K42" s="86"/>
      <c r="L42" s="86"/>
    </row>
    <row r="43" spans="1:13" x14ac:dyDescent="0.4">
      <c r="F43" s="9" t="s">
        <v>148</v>
      </c>
      <c r="G43" s="41">
        <f>SUM(G6:G41)</f>
        <v>939.5</v>
      </c>
    </row>
    <row r="44" spans="1:13" x14ac:dyDescent="0.4">
      <c r="M44" s="54"/>
    </row>
    <row r="45" spans="1:13" x14ac:dyDescent="0.4">
      <c r="F45" s="9" t="s">
        <v>198</v>
      </c>
      <c r="G45" s="41">
        <f>G43/J53</f>
        <v>3.2424503882657465</v>
      </c>
    </row>
    <row r="47" spans="1:13" x14ac:dyDescent="0.4">
      <c r="J47" s="86"/>
      <c r="K47" s="86"/>
      <c r="L47" s="86"/>
    </row>
    <row r="51" spans="10:12" x14ac:dyDescent="0.4">
      <c r="J51" s="87" t="s">
        <v>284</v>
      </c>
      <c r="K51" s="87"/>
      <c r="L51" s="87"/>
    </row>
    <row r="52" spans="10:12" x14ac:dyDescent="0.4">
      <c r="J52" s="1" t="s">
        <v>164</v>
      </c>
      <c r="K52" s="1" t="s">
        <v>150</v>
      </c>
      <c r="L52" s="1" t="s">
        <v>6</v>
      </c>
    </row>
    <row r="53" spans="10:12" x14ac:dyDescent="0.4">
      <c r="J53" s="1">
        <v>289.75</v>
      </c>
      <c r="K53" s="1">
        <v>8</v>
      </c>
      <c r="L53" s="81">
        <f>J53*K53</f>
        <v>2318</v>
      </c>
    </row>
    <row r="56" spans="10:12" x14ac:dyDescent="0.4">
      <c r="J56" s="88" t="s">
        <v>285</v>
      </c>
      <c r="K56" s="88"/>
      <c r="L56" s="88"/>
    </row>
    <row r="57" spans="10:12" x14ac:dyDescent="0.4">
      <c r="J57" s="1" t="s">
        <v>164</v>
      </c>
      <c r="K57" s="1" t="s">
        <v>150</v>
      </c>
      <c r="L57" s="1" t="s">
        <v>6</v>
      </c>
    </row>
    <row r="58" spans="10:12" x14ac:dyDescent="0.4">
      <c r="J58" s="1">
        <v>5.75</v>
      </c>
      <c r="K58" s="1">
        <v>15</v>
      </c>
      <c r="L58" s="1">
        <f>J58*K58</f>
        <v>86.25</v>
      </c>
    </row>
  </sheetData>
  <mergeCells count="4">
    <mergeCell ref="J42:L42"/>
    <mergeCell ref="J47:L47"/>
    <mergeCell ref="J51:L51"/>
    <mergeCell ref="J56:L56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165</v>
      </c>
      <c r="K20" s="89"/>
      <c r="L20" s="89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2026-08-12T05:09:14Z</dcterms:modified>
  <cp:category/>
  <cp:contentStatus/>
</cp:coreProperties>
</file>