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F8773E4F-E6C1-4588-AC83-A1B38C7990D0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المرهون'!$A$5:$H$34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9" l="1"/>
  <c r="G31" i="9"/>
  <c r="G32" i="9"/>
  <c r="J48" i="9"/>
  <c r="G28" i="9"/>
  <c r="G33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42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4" i="9"/>
  <c r="L37" i="9"/>
  <c r="G21" i="10"/>
  <c r="K28" i="10"/>
  <c r="L22" i="10"/>
  <c r="I5" i="7"/>
  <c r="H143" i="7"/>
  <c r="E10" i="3"/>
  <c r="H141" i="7"/>
  <c r="G36" i="9"/>
  <c r="G38" i="9"/>
</calcChain>
</file>

<file path=xl/sharedStrings.xml><?xml version="1.0" encoding="utf-8"?>
<sst xmlns="http://schemas.openxmlformats.org/spreadsheetml/2006/main" count="1426" uniqueCount="289">
  <si>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</si>
  <si>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</si>
  <si>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</si>
  <si>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</si>
  <si>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</si>
  <si>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</si>
  <si>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</si>
  <si>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</si>
  <si>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</si>
  <si>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</si>
  <si>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</si>
  <si>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</si>
  <si>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</si>
  <si>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</si>
  <si>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</si>
  <si>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</si>
  <si>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</si>
  <si>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</si>
  <si>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</si>
  <si>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</si>
  <si>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</si>
  <si>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</si>
  <si>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</si>
  <si>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</si>
  <si>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</si>
  <si>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</si>
  <si>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</si>
  <si>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</si>
  <si>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</si>
  <si>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</si>
  <si>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</si>
  <si>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</si>
  <si>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</si>
  <si>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</si>
  <si>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</si>
  <si>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</si>
  <si>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</si>
  <si>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</si>
  <si>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</si>
  <si>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</si>
  <si>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</si>
  <si>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</si>
  <si>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</si>
  <si>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</si>
  <si>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</si>
  <si>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</si>
  <si>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</si>
  <si>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</si>
  <si>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</si>
  <si>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</si>
  <si>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</si>
  <si>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</si>
  <si>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</si>
  <si>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</si>
  <si>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</si>
  <si>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</si>
  <si>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</si>
  <si>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</si>
  <si>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</si>
  <si>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</si>
  <si>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</si>
  <si>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</si>
  <si>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</si>
  <si>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</si>
  <si>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</si>
  <si>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</si>
  <si>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</si>
  <si>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</si>
  <si>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</si>
  <si>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</si>
  <si>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</si>
  <si>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</si>
  <si>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</si>
  <si>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</si>
  <si>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</si>
  <si>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</si>
  <si>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</si>
  <si>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</si>
  <si>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</si>
  <si>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</si>
  <si>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</si>
  <si>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</si>
  <si>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</si>
  <si>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</si>
  <si>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</si>
  <si>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</si>
  <si>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</si>
  <si>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</si>
  <si>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</si>
  <si>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</si>
  <si>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</si>
  <si>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</si>
  <si>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</si>
  <si>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</si>
  <si>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</si>
  <si>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</si>
  <si>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</si>
  <si>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</si>
  <si>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</si>
  <si>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</si>
  <si>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</si>
  <si>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</si>
  <si>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</si>
  <si>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</si>
  <si>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</si>
  <si>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</si>
  <si>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</si>
  <si>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</si>
  <si>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</si>
  <si>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</si>
  <si>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</si>
  <si>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</si>
  <si>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</si>
  <si>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</si>
  <si>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</si>
  <si>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</si>
  <si>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</si>
  <si>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</si>
  <si>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</si>
  <si>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</si>
  <si>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</si>
  <si>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</si>
  <si>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</si>
  <si>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</si>
  <si>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</si>
  <si>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</si>
  <si>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</si>
  <si>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</si>
  <si>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</si>
  <si>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</si>
  <si>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</si>
  <si>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</si>
  <si>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</si>
  <si>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</si>
  <si>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</si>
  <si>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</si>
  <si>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</si>
  <si>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</si>
  <si>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</si>
  <si>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</si>
  <si>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</si>
  <si>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</si>
  <si>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</si>
  <si>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</si>
  <si>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</si>
  <si>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</si>
  <si>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</si>
  <si>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</si>
  <si>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</si>
  <si>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خرسانة المهرون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</si>
  <si>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</si>
  <si>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</si>
  <si>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</si>
  <si>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</si>
  <si>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</si>
  <si>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</si>
  <si>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</si>
  <si>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</si>
  <si>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</si>
  <si>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</si>
  <si>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</si>
  <si>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</si>
  <si>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</si>
  <si>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</si>
  <si>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</si>
  <si>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</si>
  <si>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</si>
  <si>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</si>
  <si>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</si>
  <si>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</si>
  <si>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</si>
  <si>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</si>
  <si>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</si>
  <si>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</si>
  <si>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</si>
  <si>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</si>
  <si>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</si>
  <si>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</si>
  <si>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</si>
  <si>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</si>
  <si>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</si>
  <si>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</si>
  <si>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</si>
  <si>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</si>
  <si>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</si>
  <si>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</si>
  <si>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</si>
  <si>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</si>
  <si>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</si>
  <si>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</si>
  <si>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</si>
  <si>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</si>
  <si>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</si>
  <si>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</si>
  <si>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</si>
  <si>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</si>
  <si>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</si>
  <si>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</si>
  <si>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</si>
  <si>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</si>
  <si>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</si>
  <si>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</si>
  <si>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</si>
  <si>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</si>
  <si>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</si>
  <si>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</si>
  <si>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</si>
  <si>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</si>
  <si>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</si>
  <si>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</si>
  <si>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</si>
  <si>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</si>
  <si>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</si>
  <si>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</si>
  <si>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</si>
  <si>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</si>
  <si>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</si>
  <si>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</si>
  <si>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</si>
  <si>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</si>
  <si>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</si>
  <si>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</si>
  <si>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</si>
  <si>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</si>
  <si>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</si>
  <si>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</si>
  <si>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</si>
  <si>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</si>
  <si>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</si>
  <si>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</si>
  <si>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</si>
  <si>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</si>
  <si>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</si>
  <si>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</si>
  <si>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</si>
  <si>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</si>
  <si>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</si>
  <si>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</si>
  <si>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</si>
  <si>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</si>
  <si>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</si>
  <si>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</si>
  <si>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</si>
  <si>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</si>
  <si>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</si>
  <si>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</si>
  <si>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</si>
  <si>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</si>
  <si>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</si>
  <si>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</si>
  <si>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</si>
  <si>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</si>
  <si>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</si>
  <si>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</si>
  <si>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</si>
  <si>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</si>
  <si>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</si>
  <si>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</si>
  <si>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</si>
  <si>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</si>
  <si>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</si>
  <si>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</si>
  <si>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</si>
  <si>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</si>
  <si>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</si>
  <si>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</si>
  <si>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</si>
  <si>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</si>
  <si>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</si>
  <si>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</si>
  <si>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</si>
  <si>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</si>
  <si>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???</t>
  </si>
  <si>
    <t>تم الدفع
Ice Water</t>
  </si>
  <si>
    <t>اضافة رصيد
Ice Water</t>
  </si>
  <si>
    <t>Please add Amount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</si>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</sst>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2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164" fontId="1" fillId="7" borderId="2" xfId="0" applyNumberFormat="1" applyFont="1" applyFill="1" applyBorder="1" applyAlignment="1">
      <alignment horizontal="center" vertical="center" readingOrder="2"/>
    </xf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/>
    <xf numFmtId="39" fontId="1" fillId="7" borderId="1" xfId="1" applyNumberFormat="1" applyFont="1" applyFill="1" applyBorder="1"/>
    <xf numFmtId="0" fontId="1" fillId="7" borderId="3" xfId="0" applyFont="1" applyFill="1" applyBorder="1" applyAlignment="1">
      <alignment wrapText="1"/>
    </xf>
    <xf numFmtId="0" fontId="1" fillId="7" borderId="0" xfId="0" applyFont="1" applyFill="1"/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3" borderId="0" xfId="0" applyFont="1" applyFill="1"/>
    <xf numFmtId="164" fontId="4" fillId="0" borderId="0" xfId="0" applyNumberFormat="1" applyFont="1" applyAlignment="1">
      <alignment horizontal="center" vertical="distributed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38" totalsRowShown="0" headerRowDxfId="65" dataDxfId="64">
  <autoFilter ref="A4:M138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4" totalsRowShown="0" headerRowDxfId="50" headerRowBorderDxfId="49" tableBorderDxfId="48" totalsRowBorderDxfId="47">
  <autoFilter ref="A5:I34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47"/>
  <sheetViews>
    <sheetView rightToLeft="1" tabSelected="1" topLeftCell="D108" zoomScale="115" zoomScaleNormal="115" workbookViewId="0">
      <selection activeCell="G109" sqref="G109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90" t="s">
        <v>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236</v>
      </c>
      <c r="L4" s="25" t="s">
        <v>240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237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237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247</v>
      </c>
      <c r="F7" s="71" t="s">
        <v>247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237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237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237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247</v>
      </c>
      <c r="F10" s="71" t="s">
        <v>247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237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247</v>
      </c>
      <c r="F11" s="71" t="s">
        <v>247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237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247</v>
      </c>
      <c r="F12" s="71" t="s">
        <v>247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237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247</v>
      </c>
      <c r="F13" s="71" t="s">
        <v>247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237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237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247</v>
      </c>
      <c r="F15" s="71" t="s">
        <v>247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237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237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237</v>
      </c>
      <c r="L17" s="71" t="s">
        <v>156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237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237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168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237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237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237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186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187</v>
      </c>
      <c r="K23" s="71" t="s">
        <v>237</v>
      </c>
      <c r="L23" s="71" t="s">
        <v>187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168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237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245</v>
      </c>
      <c r="H25" s="71" t="s">
        <v>52</v>
      </c>
      <c r="I25" s="72">
        <v>70</v>
      </c>
      <c r="J25" s="71" t="s">
        <v>63</v>
      </c>
      <c r="K25" s="71" t="s">
        <v>237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247</v>
      </c>
      <c r="F26" s="71" t="s">
        <v>247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237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237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239</v>
      </c>
      <c r="G28" s="71" t="s">
        <v>244</v>
      </c>
      <c r="H28" s="71" t="s">
        <v>93</v>
      </c>
      <c r="I28" s="72">
        <v>10080</v>
      </c>
      <c r="J28" s="71" t="s">
        <v>54</v>
      </c>
      <c r="K28" s="71" t="s">
        <v>237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237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239</v>
      </c>
      <c r="G30" s="71" t="s">
        <v>244</v>
      </c>
      <c r="H30" s="71" t="s">
        <v>93</v>
      </c>
      <c r="I30" s="72">
        <v>1890</v>
      </c>
      <c r="J30" s="71" t="s">
        <v>54</v>
      </c>
      <c r="K30" s="71" t="s">
        <v>237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238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237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238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237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237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237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237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237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238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237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237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155</v>
      </c>
      <c r="C39" s="73" t="s">
        <v>127</v>
      </c>
      <c r="D39" s="71" t="s">
        <v>9</v>
      </c>
      <c r="E39" s="71" t="s">
        <v>80</v>
      </c>
      <c r="F39" s="71" t="s">
        <v>239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237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232</v>
      </c>
      <c r="G40" s="71"/>
      <c r="H40" s="71" t="s">
        <v>93</v>
      </c>
      <c r="I40" s="72">
        <v>4565.5</v>
      </c>
      <c r="J40" s="71" t="s">
        <v>54</v>
      </c>
      <c r="K40" s="71" t="s">
        <v>237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238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237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237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168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237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237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237</v>
      </c>
      <c r="L45" s="71" t="s">
        <v>156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232</v>
      </c>
      <c r="G46" s="71"/>
      <c r="H46" s="71" t="s">
        <v>93</v>
      </c>
      <c r="I46" s="72">
        <v>2070</v>
      </c>
      <c r="J46" s="71" t="s">
        <v>54</v>
      </c>
      <c r="K46" s="71" t="s">
        <v>237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158</v>
      </c>
      <c r="C47" s="73" t="s">
        <v>157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237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171</v>
      </c>
      <c r="C48" s="73" t="s">
        <v>127</v>
      </c>
      <c r="D48" s="71" t="s">
        <v>9</v>
      </c>
      <c r="E48" s="71" t="s">
        <v>80</v>
      </c>
      <c r="F48" s="71" t="s">
        <v>239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237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169</v>
      </c>
      <c r="C49" s="71" t="s">
        <v>168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237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170</v>
      </c>
      <c r="C50" s="73" t="s">
        <v>127</v>
      </c>
      <c r="D50" s="71" t="s">
        <v>9</v>
      </c>
      <c r="E50" s="71" t="s">
        <v>80</v>
      </c>
      <c r="F50" s="71" t="s">
        <v>239</v>
      </c>
      <c r="G50" s="71" t="s">
        <v>241</v>
      </c>
      <c r="H50" s="71" t="s">
        <v>93</v>
      </c>
      <c r="I50" s="72">
        <v>2318</v>
      </c>
      <c r="J50" s="71" t="s">
        <v>54</v>
      </c>
      <c r="K50" s="71" t="s">
        <v>237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237</v>
      </c>
      <c r="L51" s="71"/>
      <c r="M51" s="71" t="s">
        <v>10</v>
      </c>
    </row>
    <row r="52" spans="1:13" x14ac:dyDescent="0.3">
      <c r="A52" s="69">
        <v>46060</v>
      </c>
      <c r="B52" s="74" t="s">
        <v>174</v>
      </c>
      <c r="C52" s="73" t="s">
        <v>175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237</v>
      </c>
      <c r="L52" s="71" t="s">
        <v>176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237</v>
      </c>
      <c r="L53" s="71" t="s">
        <v>179</v>
      </c>
      <c r="M53" s="71" t="s">
        <v>10</v>
      </c>
    </row>
    <row r="54" spans="1:13" x14ac:dyDescent="0.3">
      <c r="A54" s="69">
        <v>46063</v>
      </c>
      <c r="B54" s="74" t="s">
        <v>233</v>
      </c>
      <c r="C54" s="71" t="s">
        <v>180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237</v>
      </c>
      <c r="L54" s="71" t="s">
        <v>179</v>
      </c>
      <c r="M54" s="71" t="s">
        <v>10</v>
      </c>
    </row>
    <row r="55" spans="1:13" ht="69.599999999999994" x14ac:dyDescent="0.3">
      <c r="A55" s="69">
        <v>46064</v>
      </c>
      <c r="B55" s="74" t="s">
        <v>177</v>
      </c>
      <c r="C55" s="71" t="s">
        <v>168</v>
      </c>
      <c r="D55" s="71" t="s">
        <v>9</v>
      </c>
      <c r="E55" s="71" t="s">
        <v>82</v>
      </c>
      <c r="F55" s="71" t="s">
        <v>178</v>
      </c>
      <c r="G55" s="71"/>
      <c r="H55" s="71" t="s">
        <v>93</v>
      </c>
      <c r="I55" s="72">
        <v>20500</v>
      </c>
      <c r="J55" s="71" t="s">
        <v>54</v>
      </c>
      <c r="K55" s="71" t="s">
        <v>237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181</v>
      </c>
      <c r="C56" s="73" t="s">
        <v>238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237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237</v>
      </c>
      <c r="L57" s="71" t="s">
        <v>179</v>
      </c>
      <c r="M57" s="71" t="s">
        <v>10</v>
      </c>
    </row>
    <row r="58" spans="1:13" ht="69.599999999999994" x14ac:dyDescent="0.3">
      <c r="A58" s="69">
        <v>46065</v>
      </c>
      <c r="B58" s="74" t="s">
        <v>182</v>
      </c>
      <c r="C58" s="73" t="s">
        <v>127</v>
      </c>
      <c r="D58" s="71" t="s">
        <v>9</v>
      </c>
      <c r="E58" s="71" t="s">
        <v>80</v>
      </c>
      <c r="F58" s="71" t="s">
        <v>239</v>
      </c>
      <c r="G58" s="71" t="s">
        <v>242</v>
      </c>
      <c r="H58" s="71" t="s">
        <v>93</v>
      </c>
      <c r="I58" s="72">
        <v>5215.5</v>
      </c>
      <c r="J58" s="71" t="s">
        <v>54</v>
      </c>
      <c r="K58" s="71" t="s">
        <v>237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237</v>
      </c>
      <c r="L59" s="71" t="s">
        <v>156</v>
      </c>
      <c r="M59" s="71" t="s">
        <v>10</v>
      </c>
    </row>
    <row r="60" spans="1:13" ht="69.599999999999994" x14ac:dyDescent="0.3">
      <c r="A60" s="69">
        <v>46077</v>
      </c>
      <c r="B60" s="74" t="s">
        <v>188</v>
      </c>
      <c r="C60" s="73" t="s">
        <v>127</v>
      </c>
      <c r="D60" s="71" t="s">
        <v>9</v>
      </c>
      <c r="E60" s="71" t="s">
        <v>80</v>
      </c>
      <c r="F60" s="71" t="s">
        <v>239</v>
      </c>
      <c r="G60" s="71" t="s">
        <v>243</v>
      </c>
      <c r="H60" s="71" t="s">
        <v>93</v>
      </c>
      <c r="I60" s="72">
        <v>13038.75</v>
      </c>
      <c r="J60" s="71" t="s">
        <v>54</v>
      </c>
      <c r="K60" s="71" t="s">
        <v>237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193</v>
      </c>
      <c r="C61" s="71" t="s">
        <v>246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237</v>
      </c>
      <c r="L61" s="71" t="s">
        <v>179</v>
      </c>
      <c r="M61" s="71" t="s">
        <v>10</v>
      </c>
    </row>
    <row r="62" spans="1:13" x14ac:dyDescent="0.3">
      <c r="A62" s="69">
        <v>46077</v>
      </c>
      <c r="B62" s="70" t="s">
        <v>192</v>
      </c>
      <c r="C62" s="71" t="s">
        <v>189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237</v>
      </c>
      <c r="L62" s="71" t="s">
        <v>179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237</v>
      </c>
      <c r="L63" s="71" t="s">
        <v>185</v>
      </c>
      <c r="M63" s="71" t="s">
        <v>10</v>
      </c>
    </row>
    <row r="64" spans="1:13" x14ac:dyDescent="0.3">
      <c r="A64" s="69">
        <v>46081</v>
      </c>
      <c r="B64" s="70" t="s">
        <v>194</v>
      </c>
      <c r="C64" s="71" t="s">
        <v>195</v>
      </c>
      <c r="D64" s="71" t="s">
        <v>9</v>
      </c>
      <c r="E64" s="71" t="s">
        <v>82</v>
      </c>
      <c r="F64" s="71" t="s">
        <v>126</v>
      </c>
      <c r="G64" s="71" t="s">
        <v>194</v>
      </c>
      <c r="H64" s="71" t="s">
        <v>93</v>
      </c>
      <c r="I64" s="72">
        <v>5493</v>
      </c>
      <c r="J64" s="71" t="s">
        <v>54</v>
      </c>
      <c r="K64" s="71" t="s">
        <v>237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197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237</v>
      </c>
      <c r="L65" s="71" t="s">
        <v>179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237</v>
      </c>
      <c r="L66" s="71" t="s">
        <v>179</v>
      </c>
      <c r="M66" s="71" t="s">
        <v>10</v>
      </c>
    </row>
    <row r="67" spans="1:13" x14ac:dyDescent="0.3">
      <c r="A67" s="69">
        <v>46085</v>
      </c>
      <c r="B67" s="70" t="s">
        <v>196</v>
      </c>
      <c r="C67" s="71" t="s">
        <v>197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237</v>
      </c>
      <c r="L67" s="71" t="s">
        <v>179</v>
      </c>
      <c r="M67" s="71" t="s">
        <v>10</v>
      </c>
    </row>
    <row r="68" spans="1:13" ht="52.2" x14ac:dyDescent="0.3">
      <c r="A68" s="69">
        <v>46092</v>
      </c>
      <c r="B68" s="74" t="s">
        <v>198</v>
      </c>
      <c r="C68" s="71" t="s">
        <v>168</v>
      </c>
      <c r="D68" s="71" t="s">
        <v>9</v>
      </c>
      <c r="E68" s="71" t="s">
        <v>82</v>
      </c>
      <c r="F68" s="71" t="s">
        <v>178</v>
      </c>
      <c r="G68" s="71"/>
      <c r="H68" s="71" t="s">
        <v>93</v>
      </c>
      <c r="I68" s="72">
        <v>6800</v>
      </c>
      <c r="J68" s="71" t="s">
        <v>54</v>
      </c>
      <c r="K68" s="71" t="s">
        <v>237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206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234</v>
      </c>
      <c r="H69" s="71" t="s">
        <v>93</v>
      </c>
      <c r="I69" s="72">
        <v>1680</v>
      </c>
      <c r="J69" s="71" t="s">
        <v>54</v>
      </c>
      <c r="K69" s="71" t="s">
        <v>237</v>
      </c>
      <c r="L69" s="71" t="s">
        <v>179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237</v>
      </c>
      <c r="L70" s="71" t="s">
        <v>179</v>
      </c>
      <c r="M70" s="71" t="s">
        <v>10</v>
      </c>
    </row>
    <row r="71" spans="1:13" x14ac:dyDescent="0.3">
      <c r="A71" s="69">
        <v>46093</v>
      </c>
      <c r="B71" s="74" t="s">
        <v>200</v>
      </c>
      <c r="C71" s="73" t="s">
        <v>238</v>
      </c>
      <c r="D71" s="71" t="s">
        <v>9</v>
      </c>
      <c r="E71" s="71" t="s">
        <v>82</v>
      </c>
      <c r="F71" s="71" t="s">
        <v>199</v>
      </c>
      <c r="G71" s="71" t="s">
        <v>199</v>
      </c>
      <c r="H71" s="71" t="s">
        <v>93</v>
      </c>
      <c r="I71" s="72">
        <v>3100</v>
      </c>
      <c r="J71" s="71" t="s">
        <v>54</v>
      </c>
      <c r="K71" s="71" t="s">
        <v>237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203</v>
      </c>
      <c r="C72" s="73" t="s">
        <v>202</v>
      </c>
      <c r="D72" s="71" t="s">
        <v>9</v>
      </c>
      <c r="E72" s="71" t="s">
        <v>82</v>
      </c>
      <c r="F72" s="71" t="s">
        <v>126</v>
      </c>
      <c r="G72" s="71" t="s">
        <v>204</v>
      </c>
      <c r="H72" s="71" t="s">
        <v>93</v>
      </c>
      <c r="I72" s="72">
        <v>325</v>
      </c>
      <c r="J72" s="71" t="s">
        <v>205</v>
      </c>
      <c r="K72" s="71" t="s">
        <v>237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207</v>
      </c>
      <c r="C73" s="73" t="s">
        <v>127</v>
      </c>
      <c r="D73" s="71" t="s">
        <v>9</v>
      </c>
      <c r="E73" s="71" t="s">
        <v>80</v>
      </c>
      <c r="F73" s="71" t="s">
        <v>239</v>
      </c>
      <c r="G73" s="71" t="s">
        <v>208</v>
      </c>
      <c r="H73" s="71" t="s">
        <v>93</v>
      </c>
      <c r="I73" s="72">
        <v>8113</v>
      </c>
      <c r="J73" s="71" t="s">
        <v>54</v>
      </c>
      <c r="K73" s="71" t="s">
        <v>237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210</v>
      </c>
      <c r="C74" s="73" t="s">
        <v>238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237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213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237</v>
      </c>
      <c r="L75" s="71" t="s">
        <v>212</v>
      </c>
      <c r="M75" s="71" t="s">
        <v>10</v>
      </c>
    </row>
    <row r="76" spans="1:13" x14ac:dyDescent="0.3">
      <c r="A76" s="69">
        <v>46114</v>
      </c>
      <c r="B76" s="74" t="s">
        <v>214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237</v>
      </c>
      <c r="L76" s="71" t="s">
        <v>179</v>
      </c>
      <c r="M76" s="71" t="s">
        <v>10</v>
      </c>
    </row>
    <row r="77" spans="1:13" x14ac:dyDescent="0.3">
      <c r="A77" s="69">
        <v>46117</v>
      </c>
      <c r="B77" s="70" t="s">
        <v>215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237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221</v>
      </c>
      <c r="C78" s="73" t="s">
        <v>217</v>
      </c>
      <c r="D78" s="71" t="s">
        <v>9</v>
      </c>
      <c r="E78" s="71" t="s">
        <v>82</v>
      </c>
      <c r="F78" s="71" t="s">
        <v>232</v>
      </c>
      <c r="G78" s="71"/>
      <c r="H78" s="71" t="s">
        <v>93</v>
      </c>
      <c r="I78" s="72">
        <v>9717.5</v>
      </c>
      <c r="J78" s="71" t="s">
        <v>54</v>
      </c>
      <c r="K78" s="71" t="s">
        <v>237</v>
      </c>
      <c r="L78" s="71" t="s">
        <v>156</v>
      </c>
      <c r="M78" s="71" t="s">
        <v>10</v>
      </c>
    </row>
    <row r="79" spans="1:13" ht="34.799999999999997" x14ac:dyDescent="0.3">
      <c r="A79" s="69">
        <v>46118</v>
      </c>
      <c r="B79" s="74" t="s">
        <v>216</v>
      </c>
      <c r="C79" s="73" t="s">
        <v>218</v>
      </c>
      <c r="D79" s="71" t="s">
        <v>9</v>
      </c>
      <c r="E79" s="71" t="s">
        <v>82</v>
      </c>
      <c r="F79" s="71" t="s">
        <v>126</v>
      </c>
      <c r="G79" s="71" t="s">
        <v>235</v>
      </c>
      <c r="H79" s="71" t="s">
        <v>93</v>
      </c>
      <c r="I79" s="72">
        <v>3542</v>
      </c>
      <c r="J79" s="71" t="s">
        <v>54</v>
      </c>
      <c r="K79" s="71" t="s">
        <v>237</v>
      </c>
      <c r="L79" s="71" t="s">
        <v>156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219</v>
      </c>
      <c r="C80" s="73" t="s">
        <v>127</v>
      </c>
      <c r="D80" s="71" t="s">
        <v>9</v>
      </c>
      <c r="E80" s="71" t="s">
        <v>80</v>
      </c>
      <c r="F80" s="71" t="s">
        <v>239</v>
      </c>
      <c r="G80" s="71" t="s">
        <v>220</v>
      </c>
      <c r="H80" s="71" t="s">
        <v>93</v>
      </c>
      <c r="I80" s="72">
        <v>5215.5</v>
      </c>
      <c r="J80" s="71" t="s">
        <v>54</v>
      </c>
      <c r="K80" s="71" t="s">
        <v>237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222</v>
      </c>
      <c r="C81" s="71" t="s">
        <v>223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237</v>
      </c>
      <c r="L81" s="71" t="s">
        <v>176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237</v>
      </c>
      <c r="L82" s="71" t="s">
        <v>224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237</v>
      </c>
      <c r="L83" s="71" t="s">
        <v>224</v>
      </c>
      <c r="M83" s="71" t="s">
        <v>10</v>
      </c>
    </row>
    <row r="84" spans="1:13" x14ac:dyDescent="0.3">
      <c r="A84" s="69">
        <v>46125</v>
      </c>
      <c r="B84" s="70" t="s">
        <v>225</v>
      </c>
      <c r="C84" s="71" t="s">
        <v>168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237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226</v>
      </c>
      <c r="C85" s="71" t="s">
        <v>195</v>
      </c>
      <c r="D85" s="71" t="s">
        <v>9</v>
      </c>
      <c r="E85" s="71" t="s">
        <v>82</v>
      </c>
      <c r="F85" s="71" t="s">
        <v>126</v>
      </c>
      <c r="G85" s="71" t="s">
        <v>194</v>
      </c>
      <c r="H85" s="71" t="s">
        <v>93</v>
      </c>
      <c r="I85" s="72">
        <v>5115</v>
      </c>
      <c r="J85" s="71" t="s">
        <v>54</v>
      </c>
      <c r="K85" s="71" t="s">
        <v>237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227</v>
      </c>
      <c r="C86" s="73" t="s">
        <v>217</v>
      </c>
      <c r="D86" s="71" t="s">
        <v>9</v>
      </c>
      <c r="E86" s="71" t="s">
        <v>82</v>
      </c>
      <c r="F86" s="71" t="s">
        <v>232</v>
      </c>
      <c r="G86" s="71"/>
      <c r="H86" s="71" t="s">
        <v>93</v>
      </c>
      <c r="I86" s="72">
        <v>2443.75</v>
      </c>
      <c r="J86" s="71" t="s">
        <v>54</v>
      </c>
      <c r="K86" s="71" t="s">
        <v>237</v>
      </c>
      <c r="L86" s="71" t="s">
        <v>156</v>
      </c>
      <c r="M86" s="71" t="s">
        <v>10</v>
      </c>
    </row>
    <row r="87" spans="1:13" ht="34.799999999999997" x14ac:dyDescent="0.3">
      <c r="A87" s="69">
        <v>46131</v>
      </c>
      <c r="B87" s="74" t="s">
        <v>231</v>
      </c>
      <c r="C87" s="73" t="s">
        <v>218</v>
      </c>
      <c r="D87" s="71" t="s">
        <v>9</v>
      </c>
      <c r="E87" s="71" t="s">
        <v>82</v>
      </c>
      <c r="F87" s="71" t="s">
        <v>126</v>
      </c>
      <c r="G87" s="71" t="s">
        <v>235</v>
      </c>
      <c r="H87" s="71" t="s">
        <v>93</v>
      </c>
      <c r="I87" s="72">
        <v>2656.5</v>
      </c>
      <c r="J87" s="71" t="s">
        <v>54</v>
      </c>
      <c r="K87" s="71" t="s">
        <v>237</v>
      </c>
      <c r="L87" s="71" t="s">
        <v>156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237</v>
      </c>
      <c r="L88" s="71" t="s">
        <v>179</v>
      </c>
      <c r="M88" s="71" t="s">
        <v>10</v>
      </c>
    </row>
    <row r="89" spans="1:13" ht="69.599999999999994" x14ac:dyDescent="0.3">
      <c r="A89" s="69">
        <v>46132</v>
      </c>
      <c r="B89" s="74" t="s">
        <v>248</v>
      </c>
      <c r="C89" s="73" t="s">
        <v>217</v>
      </c>
      <c r="D89" s="71" t="s">
        <v>9</v>
      </c>
      <c r="E89" s="71" t="s">
        <v>82</v>
      </c>
      <c r="F89" s="71" t="s">
        <v>232</v>
      </c>
      <c r="G89" s="71"/>
      <c r="H89" s="71" t="s">
        <v>93</v>
      </c>
      <c r="I89" s="72">
        <v>2875</v>
      </c>
      <c r="J89" s="71" t="s">
        <v>54</v>
      </c>
      <c r="K89" s="71" t="s">
        <v>237</v>
      </c>
      <c r="L89" s="71" t="s">
        <v>156</v>
      </c>
      <c r="M89" s="71" t="s">
        <v>10</v>
      </c>
    </row>
    <row r="90" spans="1:13" ht="216" customHeight="1" x14ac:dyDescent="0.3">
      <c r="A90" s="69">
        <v>46121</v>
      </c>
      <c r="B90" s="77" t="s">
        <v>249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187</v>
      </c>
      <c r="K90" s="71" t="s">
        <v>237</v>
      </c>
      <c r="L90" s="71" t="s">
        <v>187</v>
      </c>
      <c r="M90" s="71" t="s">
        <v>10</v>
      </c>
    </row>
    <row r="91" spans="1:13" ht="215.4" customHeight="1" x14ac:dyDescent="0.3">
      <c r="A91" s="69">
        <v>46137</v>
      </c>
      <c r="B91" s="77" t="s">
        <v>250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187</v>
      </c>
      <c r="K91" s="71" t="s">
        <v>237</v>
      </c>
      <c r="L91" s="71" t="s">
        <v>187</v>
      </c>
      <c r="M91" s="71" t="s">
        <v>10</v>
      </c>
    </row>
    <row r="92" spans="1:13" x14ac:dyDescent="0.3">
      <c r="A92" s="69">
        <v>46139</v>
      </c>
      <c r="B92" s="74" t="s">
        <v>251</v>
      </c>
      <c r="C92" s="71" t="s">
        <v>168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237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252</v>
      </c>
      <c r="C93" s="71" t="s">
        <v>253</v>
      </c>
      <c r="D93" s="71" t="s">
        <v>9</v>
      </c>
      <c r="E93" s="71" t="s">
        <v>82</v>
      </c>
      <c r="F93" s="71" t="s">
        <v>232</v>
      </c>
      <c r="G93" s="71" t="s">
        <v>232</v>
      </c>
      <c r="H93" s="71" t="s">
        <v>93</v>
      </c>
      <c r="I93" s="72">
        <v>200</v>
      </c>
      <c r="J93" s="71" t="s">
        <v>54</v>
      </c>
      <c r="K93" s="71" t="s">
        <v>237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254</v>
      </c>
      <c r="C94" s="73" t="s">
        <v>217</v>
      </c>
      <c r="D94" s="71" t="s">
        <v>9</v>
      </c>
      <c r="E94" s="71" t="s">
        <v>82</v>
      </c>
      <c r="F94" s="71" t="s">
        <v>232</v>
      </c>
      <c r="G94" s="71"/>
      <c r="H94" s="71" t="s">
        <v>93</v>
      </c>
      <c r="I94" s="72">
        <v>2478.25</v>
      </c>
      <c r="J94" s="71" t="s">
        <v>54</v>
      </c>
      <c r="K94" s="71" t="s">
        <v>237</v>
      </c>
      <c r="L94" s="71" t="s">
        <v>156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257</v>
      </c>
      <c r="C95" s="73" t="s">
        <v>127</v>
      </c>
      <c r="D95" s="71" t="s">
        <v>9</v>
      </c>
      <c r="E95" s="71" t="s">
        <v>80</v>
      </c>
      <c r="F95" s="71" t="s">
        <v>239</v>
      </c>
      <c r="G95" s="71" t="s">
        <v>220</v>
      </c>
      <c r="H95" s="71" t="s">
        <v>93</v>
      </c>
      <c r="I95" s="72">
        <v>2897.5</v>
      </c>
      <c r="J95" s="71" t="s">
        <v>54</v>
      </c>
      <c r="K95" s="71" t="s">
        <v>237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259</v>
      </c>
      <c r="C96" s="73" t="s">
        <v>127</v>
      </c>
      <c r="D96" s="71" t="s">
        <v>9</v>
      </c>
      <c r="E96" s="71" t="s">
        <v>80</v>
      </c>
      <c r="F96" s="71" t="s">
        <v>239</v>
      </c>
      <c r="G96" s="71" t="s">
        <v>220</v>
      </c>
      <c r="H96" s="71" t="s">
        <v>93</v>
      </c>
      <c r="I96" s="72">
        <v>1738.5</v>
      </c>
      <c r="J96" s="71" t="s">
        <v>54</v>
      </c>
      <c r="K96" s="71" t="s">
        <v>237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237</v>
      </c>
      <c r="L97" s="57"/>
      <c r="M97" s="57"/>
    </row>
    <row r="98" spans="1:13" ht="69.599999999999994" x14ac:dyDescent="0.3">
      <c r="A98" s="69">
        <v>46155</v>
      </c>
      <c r="B98" s="74" t="s">
        <v>254</v>
      </c>
      <c r="C98" s="73" t="s">
        <v>217</v>
      </c>
      <c r="D98" s="71" t="s">
        <v>9</v>
      </c>
      <c r="E98" s="71" t="s">
        <v>82</v>
      </c>
      <c r="F98" s="71" t="s">
        <v>232</v>
      </c>
      <c r="G98" s="71"/>
      <c r="H98" s="71" t="s">
        <v>93</v>
      </c>
      <c r="I98" s="72">
        <v>2478.25</v>
      </c>
      <c r="J98" s="71" t="s">
        <v>54</v>
      </c>
      <c r="K98" s="71" t="s">
        <v>237</v>
      </c>
      <c r="L98" s="71" t="s">
        <v>156</v>
      </c>
      <c r="M98" s="71" t="s">
        <v>10</v>
      </c>
    </row>
    <row r="99" spans="1:13" x14ac:dyDescent="0.3">
      <c r="A99" s="69">
        <v>46155</v>
      </c>
      <c r="B99" s="74" t="s">
        <v>265</v>
      </c>
      <c r="C99" s="71" t="s">
        <v>168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237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266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237</v>
      </c>
      <c r="L100" s="71" t="s">
        <v>179</v>
      </c>
      <c r="M100" s="71" t="s">
        <v>10</v>
      </c>
    </row>
    <row r="101" spans="1:13" ht="139.19999999999999" x14ac:dyDescent="0.3">
      <c r="A101" s="69">
        <v>46161</v>
      </c>
      <c r="B101" s="74" t="s">
        <v>267</v>
      </c>
      <c r="C101" s="73" t="s">
        <v>238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237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268</v>
      </c>
      <c r="C102" s="73" t="s">
        <v>238</v>
      </c>
      <c r="D102" s="71" t="s">
        <v>9</v>
      </c>
      <c r="E102" s="71" t="s">
        <v>82</v>
      </c>
      <c r="F102" s="71" t="s">
        <v>199</v>
      </c>
      <c r="G102" s="71" t="s">
        <v>199</v>
      </c>
      <c r="H102" s="71" t="s">
        <v>93</v>
      </c>
      <c r="I102" s="72">
        <v>2550</v>
      </c>
      <c r="J102" s="71" t="s">
        <v>54</v>
      </c>
      <c r="K102" s="71" t="s">
        <v>237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269</v>
      </c>
      <c r="C103" s="73" t="s">
        <v>218</v>
      </c>
      <c r="D103" s="71" t="s">
        <v>9</v>
      </c>
      <c r="E103" s="71" t="s">
        <v>82</v>
      </c>
      <c r="F103" s="71" t="s">
        <v>126</v>
      </c>
      <c r="G103" s="71" t="s">
        <v>235</v>
      </c>
      <c r="H103" s="71" t="s">
        <v>93</v>
      </c>
      <c r="I103" s="72">
        <v>9775.92</v>
      </c>
      <c r="J103" s="71" t="s">
        <v>54</v>
      </c>
      <c r="K103" s="71" t="s">
        <v>237</v>
      </c>
      <c r="L103" s="71" t="s">
        <v>156</v>
      </c>
      <c r="M103" s="71" t="s">
        <v>10</v>
      </c>
    </row>
    <row r="104" spans="1:13" x14ac:dyDescent="0.3">
      <c r="A104" s="69">
        <v>46179</v>
      </c>
      <c r="B104" s="74" t="s">
        <v>270</v>
      </c>
      <c r="C104" s="71" t="s">
        <v>168</v>
      </c>
      <c r="D104" s="71" t="s">
        <v>9</v>
      </c>
      <c r="E104" s="71" t="s">
        <v>271</v>
      </c>
      <c r="F104" s="71" t="s">
        <v>271</v>
      </c>
      <c r="G104" s="71" t="s">
        <v>271</v>
      </c>
      <c r="H104" s="71" t="s">
        <v>271</v>
      </c>
      <c r="I104" s="72">
        <v>150</v>
      </c>
      <c r="J104" s="71" t="s">
        <v>54</v>
      </c>
      <c r="K104" s="71" t="s">
        <v>237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237</v>
      </c>
      <c r="L105" s="71" t="s">
        <v>156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282</v>
      </c>
      <c r="C106" s="73" t="s">
        <v>127</v>
      </c>
      <c r="D106" s="71" t="s">
        <v>9</v>
      </c>
      <c r="E106" s="71" t="s">
        <v>80</v>
      </c>
      <c r="F106" s="71" t="s">
        <v>239</v>
      </c>
      <c r="G106" s="71" t="s">
        <v>277</v>
      </c>
      <c r="H106" s="71" t="s">
        <v>93</v>
      </c>
      <c r="I106" s="72">
        <v>27816</v>
      </c>
      <c r="J106" s="71" t="s">
        <v>54</v>
      </c>
      <c r="K106" s="71" t="s">
        <v>237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281</v>
      </c>
      <c r="C107" s="73" t="s">
        <v>127</v>
      </c>
      <c r="D107" s="71" t="s">
        <v>9</v>
      </c>
      <c r="E107" s="71" t="s">
        <v>80</v>
      </c>
      <c r="F107" s="71" t="s">
        <v>239</v>
      </c>
      <c r="G107" s="71" t="s">
        <v>277</v>
      </c>
      <c r="H107" s="71" t="s">
        <v>93</v>
      </c>
      <c r="I107" s="72">
        <v>552</v>
      </c>
      <c r="J107" s="71" t="s">
        <v>54</v>
      </c>
      <c r="K107" s="71" t="s">
        <v>237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283</v>
      </c>
      <c r="C108" s="73" t="s">
        <v>238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237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237</v>
      </c>
      <c r="L109" s="71" t="s">
        <v>224</v>
      </c>
      <c r="M109" s="71" t="s">
        <v>10</v>
      </c>
    </row>
    <row r="110" spans="1:13" x14ac:dyDescent="0.3">
      <c r="A110" s="69">
        <v>46182</v>
      </c>
      <c r="B110" s="70" t="s">
        <v>284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237</v>
      </c>
      <c r="L110" s="71" t="s">
        <v>224</v>
      </c>
      <c r="M110" s="71" t="s">
        <v>10</v>
      </c>
    </row>
    <row r="111" spans="1:13" x14ac:dyDescent="0.3">
      <c r="A111" s="69">
        <v>46183</v>
      </c>
      <c r="B111" s="70" t="s">
        <v>285</v>
      </c>
      <c r="C111" s="71" t="s">
        <v>286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287</v>
      </c>
      <c r="K111" s="71" t="s">
        <v>237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288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237</v>
      </c>
      <c r="L112" s="71" t="s">
        <v>61</v>
      </c>
      <c r="M112" s="71" t="s">
        <v>10</v>
      </c>
    </row>
    <row r="113" spans="1:13" x14ac:dyDescent="0.3">
      <c r="A113" s="69"/>
      <c r="B113" s="70"/>
      <c r="C113" s="71"/>
      <c r="D113" s="71"/>
      <c r="E113" s="71"/>
      <c r="F113" s="71"/>
      <c r="G113" s="57"/>
      <c r="H113" s="71"/>
      <c r="I113" s="72"/>
      <c r="J113" s="71"/>
      <c r="K113" s="57"/>
      <c r="L113" s="71"/>
      <c r="M113" s="71"/>
    </row>
    <row r="114" spans="1:13" x14ac:dyDescent="0.3">
      <c r="A114" s="69"/>
      <c r="B114" s="70"/>
      <c r="C114" s="71"/>
      <c r="D114" s="71"/>
      <c r="E114" s="71"/>
      <c r="F114" s="71"/>
      <c r="G114" s="57"/>
      <c r="H114" s="71"/>
      <c r="I114" s="72"/>
      <c r="J114" s="71"/>
      <c r="K114" s="57"/>
      <c r="L114" s="71"/>
      <c r="M114" s="71"/>
    </row>
    <row r="115" spans="1:13" x14ac:dyDescent="0.3">
      <c r="A115" s="69"/>
      <c r="B115" s="70"/>
      <c r="C115" s="71"/>
      <c r="D115" s="71"/>
      <c r="E115" s="71"/>
      <c r="F115" s="71"/>
      <c r="G115" s="71"/>
      <c r="H115" s="71"/>
      <c r="I115" s="72"/>
      <c r="J115" s="71"/>
      <c r="K115" s="71"/>
      <c r="L115" s="71"/>
      <c r="M115" s="71"/>
    </row>
    <row r="116" spans="1:13" s="36" customFormat="1" x14ac:dyDescent="0.3">
      <c r="A116" s="28" t="s">
        <v>27</v>
      </c>
      <c r="B116" s="40" t="s">
        <v>146</v>
      </c>
      <c r="C116" s="29" t="s">
        <v>143</v>
      </c>
      <c r="D116" s="29" t="s">
        <v>27</v>
      </c>
      <c r="E116" s="29" t="s">
        <v>144</v>
      </c>
      <c r="F116" s="29" t="s">
        <v>144</v>
      </c>
      <c r="G116" s="29"/>
      <c r="H116" s="29" t="s">
        <v>93</v>
      </c>
      <c r="I116" s="30">
        <v>20700</v>
      </c>
      <c r="J116" s="29"/>
      <c r="K116" s="29" t="s">
        <v>237</v>
      </c>
      <c r="L116" s="29"/>
      <c r="M116" s="29"/>
    </row>
    <row r="117" spans="1:13" s="36" customFormat="1" x14ac:dyDescent="0.3">
      <c r="A117" s="28" t="s">
        <v>27</v>
      </c>
      <c r="B117" s="40" t="s">
        <v>147</v>
      </c>
      <c r="C117" s="29" t="s">
        <v>143</v>
      </c>
      <c r="D117" s="29" t="s">
        <v>27</v>
      </c>
      <c r="E117" s="29" t="s">
        <v>144</v>
      </c>
      <c r="F117" s="29" t="s">
        <v>144</v>
      </c>
      <c r="G117" s="29"/>
      <c r="H117" s="29" t="s">
        <v>93</v>
      </c>
      <c r="I117" s="30">
        <v>18000</v>
      </c>
      <c r="J117" s="29"/>
      <c r="K117" s="29" t="s">
        <v>237</v>
      </c>
      <c r="L117" s="29"/>
      <c r="M117" s="29"/>
    </row>
    <row r="118" spans="1:13" s="36" customFormat="1" x14ac:dyDescent="0.3">
      <c r="A118" s="28" t="s">
        <v>27</v>
      </c>
      <c r="B118" s="40" t="s">
        <v>148</v>
      </c>
      <c r="C118" s="29" t="s">
        <v>143</v>
      </c>
      <c r="D118" s="29" t="s">
        <v>27</v>
      </c>
      <c r="E118" s="29" t="s">
        <v>144</v>
      </c>
      <c r="F118" s="29" t="s">
        <v>144</v>
      </c>
      <c r="G118" s="29"/>
      <c r="H118" s="29" t="s">
        <v>93</v>
      </c>
      <c r="I118" s="30">
        <v>5150</v>
      </c>
      <c r="J118" s="29"/>
      <c r="K118" s="29" t="s">
        <v>237</v>
      </c>
      <c r="L118" s="29"/>
      <c r="M118" s="29"/>
    </row>
    <row r="119" spans="1:13" s="36" customFormat="1" x14ac:dyDescent="0.3">
      <c r="A119" s="28" t="s">
        <v>27</v>
      </c>
      <c r="B119" s="60" t="s">
        <v>88</v>
      </c>
      <c r="C119" s="29" t="s">
        <v>26</v>
      </c>
      <c r="D119" s="29" t="s">
        <v>27</v>
      </c>
      <c r="E119" s="29" t="s">
        <v>78</v>
      </c>
      <c r="F119" s="29" t="s">
        <v>110</v>
      </c>
      <c r="G119" s="29"/>
      <c r="H119" s="29" t="s">
        <v>93</v>
      </c>
      <c r="I119" s="30">
        <v>4025</v>
      </c>
      <c r="J119" s="29"/>
      <c r="K119" s="29" t="s">
        <v>237</v>
      </c>
      <c r="L119" s="29"/>
      <c r="M119" s="29"/>
    </row>
    <row r="120" spans="1:13" s="36" customFormat="1" x14ac:dyDescent="0.3">
      <c r="A120" s="28" t="s">
        <v>27</v>
      </c>
      <c r="B120" s="60" t="s">
        <v>89</v>
      </c>
      <c r="C120" s="29" t="s">
        <v>26</v>
      </c>
      <c r="D120" s="29" t="s">
        <v>27</v>
      </c>
      <c r="E120" s="29" t="s">
        <v>78</v>
      </c>
      <c r="F120" s="29" t="s">
        <v>110</v>
      </c>
      <c r="G120" s="29"/>
      <c r="H120" s="29" t="s">
        <v>93</v>
      </c>
      <c r="I120" s="30">
        <v>2300</v>
      </c>
      <c r="J120" s="29"/>
      <c r="K120" s="29" t="s">
        <v>237</v>
      </c>
      <c r="L120" s="29"/>
      <c r="M120" s="29"/>
    </row>
    <row r="121" spans="1:13" s="36" customFormat="1" x14ac:dyDescent="0.3">
      <c r="A121" s="28" t="s">
        <v>27</v>
      </c>
      <c r="B121" s="60" t="s">
        <v>103</v>
      </c>
      <c r="C121" s="29" t="s">
        <v>28</v>
      </c>
      <c r="D121" s="29" t="s">
        <v>27</v>
      </c>
      <c r="E121" s="29" t="s">
        <v>73</v>
      </c>
      <c r="F121" s="29" t="s">
        <v>74</v>
      </c>
      <c r="G121" s="29"/>
      <c r="H121" s="29" t="s">
        <v>93</v>
      </c>
      <c r="I121" s="30">
        <v>10000</v>
      </c>
      <c r="J121" s="29"/>
      <c r="K121" s="29" t="s">
        <v>237</v>
      </c>
      <c r="L121" s="29"/>
      <c r="M121" s="29"/>
    </row>
    <row r="122" spans="1:13" s="36" customFormat="1" x14ac:dyDescent="0.3">
      <c r="A122" s="28" t="s">
        <v>27</v>
      </c>
      <c r="B122" s="60" t="s">
        <v>104</v>
      </c>
      <c r="C122" s="29" t="s">
        <v>28</v>
      </c>
      <c r="D122" s="29" t="s">
        <v>27</v>
      </c>
      <c r="E122" s="29" t="s">
        <v>73</v>
      </c>
      <c r="F122" s="29" t="s">
        <v>74</v>
      </c>
      <c r="G122" s="29"/>
      <c r="H122" s="29" t="s">
        <v>93</v>
      </c>
      <c r="I122" s="30">
        <v>10000</v>
      </c>
      <c r="J122" s="29"/>
      <c r="K122" s="29" t="s">
        <v>237</v>
      </c>
      <c r="L122" s="29"/>
      <c r="M122" s="29"/>
    </row>
    <row r="123" spans="1:13" s="36" customFormat="1" x14ac:dyDescent="0.3">
      <c r="A123" s="28" t="s">
        <v>27</v>
      </c>
      <c r="B123" s="60" t="s">
        <v>105</v>
      </c>
      <c r="C123" s="29" t="s">
        <v>28</v>
      </c>
      <c r="D123" s="29" t="s">
        <v>27</v>
      </c>
      <c r="E123" s="29" t="s">
        <v>73</v>
      </c>
      <c r="F123" s="29" t="s">
        <v>74</v>
      </c>
      <c r="G123" s="29"/>
      <c r="H123" s="29" t="s">
        <v>93</v>
      </c>
      <c r="I123" s="30">
        <v>20000</v>
      </c>
      <c r="J123" s="29"/>
      <c r="K123" s="29" t="s">
        <v>237</v>
      </c>
      <c r="L123" s="29"/>
      <c r="M123" s="29"/>
    </row>
    <row r="124" spans="1:13" s="36" customFormat="1" x14ac:dyDescent="0.3">
      <c r="A124" s="28" t="s">
        <v>27</v>
      </c>
      <c r="B124" s="60" t="s">
        <v>106</v>
      </c>
      <c r="C124" s="29" t="s">
        <v>28</v>
      </c>
      <c r="D124" s="29" t="s">
        <v>27</v>
      </c>
      <c r="E124" s="29" t="s">
        <v>73</v>
      </c>
      <c r="F124" s="29" t="s">
        <v>74</v>
      </c>
      <c r="G124" s="29"/>
      <c r="H124" s="29" t="s">
        <v>93</v>
      </c>
      <c r="I124" s="30">
        <v>15000</v>
      </c>
      <c r="J124" s="29"/>
      <c r="K124" s="29" t="s">
        <v>237</v>
      </c>
      <c r="L124" s="29"/>
      <c r="M124" s="29"/>
    </row>
    <row r="125" spans="1:13" s="36" customFormat="1" x14ac:dyDescent="0.3">
      <c r="A125" s="28" t="s">
        <v>27</v>
      </c>
      <c r="B125" s="60" t="s">
        <v>107</v>
      </c>
      <c r="C125" s="29" t="s">
        <v>28</v>
      </c>
      <c r="D125" s="29" t="s">
        <v>27</v>
      </c>
      <c r="E125" s="29" t="s">
        <v>73</v>
      </c>
      <c r="F125" s="29" t="s">
        <v>74</v>
      </c>
      <c r="G125" s="29"/>
      <c r="H125" s="29" t="s">
        <v>93</v>
      </c>
      <c r="I125" s="30">
        <v>15000</v>
      </c>
      <c r="J125" s="29"/>
      <c r="K125" s="29" t="s">
        <v>237</v>
      </c>
      <c r="L125" s="29"/>
      <c r="M125" s="29"/>
    </row>
    <row r="126" spans="1:13" s="36" customFormat="1" x14ac:dyDescent="0.3">
      <c r="A126" s="28" t="s">
        <v>27</v>
      </c>
      <c r="B126" s="60" t="s">
        <v>108</v>
      </c>
      <c r="C126" s="29" t="s">
        <v>28</v>
      </c>
      <c r="D126" s="29" t="s">
        <v>27</v>
      </c>
      <c r="E126" s="29" t="s">
        <v>73</v>
      </c>
      <c r="F126" s="29" t="s">
        <v>74</v>
      </c>
      <c r="G126" s="29"/>
      <c r="H126" s="29" t="s">
        <v>93</v>
      </c>
      <c r="I126" s="30">
        <v>10000</v>
      </c>
      <c r="J126" s="29"/>
      <c r="K126" s="29" t="s">
        <v>237</v>
      </c>
      <c r="L126" s="29"/>
      <c r="M126" s="29"/>
    </row>
    <row r="127" spans="1:13" s="36" customFormat="1" x14ac:dyDescent="0.3">
      <c r="A127" s="56"/>
      <c r="B127" s="59"/>
      <c r="C127" s="57"/>
      <c r="D127" s="57"/>
      <c r="E127" s="57"/>
      <c r="F127" s="57"/>
      <c r="G127" s="57"/>
      <c r="H127" s="57"/>
      <c r="I127" s="55"/>
      <c r="J127" s="57"/>
      <c r="K127" s="57"/>
      <c r="L127" s="57"/>
      <c r="M127" s="57"/>
    </row>
    <row r="128" spans="1:13" s="36" customFormat="1" x14ac:dyDescent="0.3">
      <c r="A128" s="56"/>
      <c r="B128" s="59"/>
      <c r="C128" s="57"/>
      <c r="D128" s="57"/>
      <c r="E128" s="57"/>
      <c r="F128" s="57"/>
      <c r="G128" s="57"/>
      <c r="H128" s="57"/>
      <c r="I128" s="55"/>
      <c r="J128" s="57"/>
      <c r="K128" s="57"/>
      <c r="L128" s="57"/>
      <c r="M128" s="57"/>
    </row>
    <row r="129" spans="1:13" s="36" customFormat="1" x14ac:dyDescent="0.3">
      <c r="A129" s="56"/>
      <c r="B129" s="59"/>
      <c r="C129" s="57"/>
      <c r="D129" s="57"/>
      <c r="E129" s="57"/>
      <c r="F129" s="57"/>
      <c r="G129" s="57"/>
      <c r="H129" s="57"/>
      <c r="I129" s="55"/>
      <c r="J129" s="57"/>
      <c r="K129" s="57"/>
      <c r="L129" s="57"/>
      <c r="M129" s="57"/>
    </row>
    <row r="130" spans="1:13" s="36" customFormat="1" x14ac:dyDescent="0.3">
      <c r="A130" s="56"/>
      <c r="B130" s="59"/>
      <c r="C130" s="57"/>
      <c r="D130" s="57"/>
      <c r="E130" s="57"/>
      <c r="F130" s="57"/>
      <c r="G130" s="57"/>
      <c r="H130" s="57"/>
      <c r="I130" s="55"/>
      <c r="J130" s="57"/>
      <c r="K130" s="57"/>
      <c r="L130" s="57"/>
      <c r="M130" s="57"/>
    </row>
    <row r="131" spans="1:13" s="36" customFormat="1" x14ac:dyDescent="0.3">
      <c r="A131" s="56"/>
      <c r="B131" s="59"/>
      <c r="C131" s="57"/>
      <c r="D131" s="57"/>
      <c r="E131" s="57"/>
      <c r="F131" s="57"/>
      <c r="G131" s="57"/>
      <c r="H131" s="57"/>
      <c r="I131" s="55"/>
      <c r="J131" s="57"/>
      <c r="K131" s="57"/>
      <c r="L131" s="57"/>
      <c r="M131" s="57"/>
    </row>
    <row r="132" spans="1:13" s="36" customFormat="1" x14ac:dyDescent="0.3">
      <c r="A132" s="56"/>
      <c r="B132" s="59"/>
      <c r="C132" s="57"/>
      <c r="D132" s="57"/>
      <c r="E132" s="57"/>
      <c r="F132" s="57"/>
      <c r="G132" s="57"/>
      <c r="H132" s="57"/>
      <c r="I132" s="55"/>
      <c r="J132" s="57"/>
      <c r="K132" s="57"/>
      <c r="L132" s="57"/>
      <c r="M132" s="57"/>
    </row>
    <row r="133" spans="1:13" s="36" customFormat="1" x14ac:dyDescent="0.3">
      <c r="A133" s="56"/>
      <c r="B133" s="59"/>
      <c r="C133" s="57"/>
      <c r="D133" s="57"/>
      <c r="E133" s="57"/>
      <c r="F133" s="57"/>
      <c r="G133" s="57"/>
      <c r="H133" s="57"/>
      <c r="I133" s="55"/>
      <c r="J133" s="57"/>
      <c r="K133" s="57"/>
      <c r="L133" s="57"/>
      <c r="M133" s="57"/>
    </row>
    <row r="134" spans="1:13" s="36" customFormat="1" x14ac:dyDescent="0.3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40" spans="1:13" ht="18" thickBot="1" x14ac:dyDescent="0.35"/>
    <row r="141" spans="1:13" ht="25.8" thickTop="1" thickBot="1" x14ac:dyDescent="0.35">
      <c r="F141" s="80"/>
      <c r="G141" s="37" t="s">
        <v>230</v>
      </c>
      <c r="H141" s="64">
        <f>SUMIF(D2:D1023,"مدفوع",I2:I1023)-748000</f>
        <v>605707.5399999998</v>
      </c>
    </row>
    <row r="142" spans="1:13" ht="25.8" thickTop="1" thickBot="1" x14ac:dyDescent="0.35">
      <c r="E142" s="67"/>
      <c r="F142" s="80"/>
      <c r="G142" s="38" t="s">
        <v>229</v>
      </c>
      <c r="H142" s="65">
        <f>SUMIF(D2:D1023,"مستقبلي",I2:I1023)</f>
        <v>130175</v>
      </c>
    </row>
    <row r="143" spans="1:13" ht="25.8" thickTop="1" thickBot="1" x14ac:dyDescent="0.35">
      <c r="E143" s="67"/>
      <c r="F143" s="80"/>
      <c r="G143" s="39" t="s">
        <v>228</v>
      </c>
      <c r="H143" s="66">
        <f>SUMIF(D2:D1023,"مدفوع",I2:I1023)</f>
        <v>1353707.5399999998</v>
      </c>
    </row>
    <row r="144" spans="1:13" ht="18" thickTop="1" x14ac:dyDescent="0.3">
      <c r="E144" s="67"/>
    </row>
    <row r="145" spans="5:8" x14ac:dyDescent="0.3">
      <c r="E145" s="67"/>
    </row>
    <row r="147" spans="5:8" x14ac:dyDescent="0.3">
      <c r="E147" s="68"/>
      <c r="H147" s="63"/>
    </row>
  </sheetData>
  <mergeCells count="1">
    <mergeCell ref="A2:M2"/>
  </mergeCells>
  <dataValidations count="1">
    <dataValidation type="list" allowBlank="1" showInputMessage="1" showErrorMessage="1" sqref="D5:D138" xr:uid="{8DD4A2C2-2D88-4DA6-AAB9-88AA2C531F27}">
      <formula1>$D$5:$D$138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48"/>
  <sheetViews>
    <sheetView rightToLeft="1" topLeftCell="C22" zoomScaleNormal="100" workbookViewId="0">
      <selection activeCell="G27" sqref="G27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11" ht="39" x14ac:dyDescent="0.4">
      <c r="A3" s="12" t="s">
        <v>149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151</v>
      </c>
      <c r="F5" s="19" t="s">
        <v>152</v>
      </c>
      <c r="G5" s="18" t="s">
        <v>6</v>
      </c>
      <c r="H5" s="20" t="s">
        <v>7</v>
      </c>
      <c r="I5" s="18" t="s">
        <v>276</v>
      </c>
    </row>
    <row r="6" spans="1:11" x14ac:dyDescent="0.4">
      <c r="A6" s="43">
        <v>46042</v>
      </c>
      <c r="B6" s="44" t="s">
        <v>154</v>
      </c>
      <c r="C6" s="44" t="s">
        <v>154</v>
      </c>
      <c r="D6" s="44" t="s">
        <v>154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153</v>
      </c>
      <c r="J6" s="2" t="s">
        <v>165</v>
      </c>
      <c r="K6" s="52"/>
    </row>
    <row r="7" spans="1:11" ht="39.6" x14ac:dyDescent="0.4">
      <c r="A7" s="47">
        <v>46042</v>
      </c>
      <c r="B7" s="48" t="s">
        <v>123</v>
      </c>
      <c r="C7" s="48" t="s">
        <v>159</v>
      </c>
      <c r="D7" s="52" t="s">
        <v>165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153</v>
      </c>
      <c r="J7" s="2" t="s">
        <v>164</v>
      </c>
      <c r="K7" s="53"/>
    </row>
    <row r="8" spans="1:11" ht="39.6" x14ac:dyDescent="0.4">
      <c r="A8" s="47">
        <v>46054</v>
      </c>
      <c r="B8" s="48" t="s">
        <v>172</v>
      </c>
      <c r="C8" s="48" t="s">
        <v>160</v>
      </c>
      <c r="D8" s="52" t="s">
        <v>165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153</v>
      </c>
    </row>
    <row r="9" spans="1:11" x14ac:dyDescent="0.4">
      <c r="A9" s="43">
        <v>46055</v>
      </c>
      <c r="B9" s="44" t="s">
        <v>154</v>
      </c>
      <c r="C9" s="44" t="s">
        <v>154</v>
      </c>
      <c r="D9" s="44" t="s">
        <v>154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153</v>
      </c>
      <c r="J9" s="2" t="s">
        <v>165</v>
      </c>
      <c r="K9" s="52"/>
    </row>
    <row r="10" spans="1:11" ht="39.6" x14ac:dyDescent="0.4">
      <c r="A10" s="47">
        <v>46055</v>
      </c>
      <c r="B10" s="48" t="s">
        <v>163</v>
      </c>
      <c r="C10" s="48" t="s">
        <v>173</v>
      </c>
      <c r="D10" s="52" t="s">
        <v>165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153</v>
      </c>
    </row>
    <row r="11" spans="1:11" x14ac:dyDescent="0.4">
      <c r="A11" s="43">
        <v>46064</v>
      </c>
      <c r="B11" s="44" t="s">
        <v>154</v>
      </c>
      <c r="C11" s="44" t="s">
        <v>154</v>
      </c>
      <c r="D11" s="44" t="s">
        <v>154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153</v>
      </c>
    </row>
    <row r="12" spans="1:11" ht="39.6" x14ac:dyDescent="0.4">
      <c r="A12" s="47">
        <v>46064</v>
      </c>
      <c r="B12" s="48" t="s">
        <v>183</v>
      </c>
      <c r="C12" s="48" t="s">
        <v>184</v>
      </c>
      <c r="D12" s="52" t="s">
        <v>165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153</v>
      </c>
    </row>
    <row r="13" spans="1:11" x14ac:dyDescent="0.4">
      <c r="A13" s="43">
        <v>46075</v>
      </c>
      <c r="B13" s="44" t="s">
        <v>154</v>
      </c>
      <c r="C13" s="44" t="s">
        <v>154</v>
      </c>
      <c r="D13" s="44" t="s">
        <v>154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153</v>
      </c>
    </row>
    <row r="14" spans="1:11" x14ac:dyDescent="0.4">
      <c r="A14" s="43">
        <v>46077</v>
      </c>
      <c r="B14" s="44" t="s">
        <v>154</v>
      </c>
      <c r="C14" s="44" t="s">
        <v>154</v>
      </c>
      <c r="D14" s="44" t="s">
        <v>154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153</v>
      </c>
    </row>
    <row r="15" spans="1:11" ht="39.6" x14ac:dyDescent="0.4">
      <c r="A15" s="47">
        <v>46077</v>
      </c>
      <c r="B15" s="48" t="s">
        <v>190</v>
      </c>
      <c r="C15" s="48" t="s">
        <v>191</v>
      </c>
      <c r="D15" s="52" t="s">
        <v>165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153</v>
      </c>
    </row>
    <row r="16" spans="1:11" x14ac:dyDescent="0.4">
      <c r="A16" s="43">
        <v>46096</v>
      </c>
      <c r="B16" s="44" t="s">
        <v>154</v>
      </c>
      <c r="C16" s="44" t="s">
        <v>154</v>
      </c>
      <c r="D16" s="44" t="s">
        <v>154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153</v>
      </c>
    </row>
    <row r="17" spans="1:9" ht="39.6" x14ac:dyDescent="0.4">
      <c r="A17" s="47">
        <v>46099</v>
      </c>
      <c r="B17" s="48" t="s">
        <v>208</v>
      </c>
      <c r="C17" s="48" t="s">
        <v>209</v>
      </c>
      <c r="D17" s="52" t="s">
        <v>165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153</v>
      </c>
    </row>
    <row r="18" spans="1:9" x14ac:dyDescent="0.4">
      <c r="A18" s="43">
        <v>46116</v>
      </c>
      <c r="B18" s="44" t="s">
        <v>154</v>
      </c>
      <c r="C18" s="44" t="s">
        <v>154</v>
      </c>
      <c r="D18" s="44" t="s">
        <v>154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153</v>
      </c>
    </row>
    <row r="19" spans="1:9" ht="39.6" x14ac:dyDescent="0.4">
      <c r="A19" s="47">
        <v>46120</v>
      </c>
      <c r="B19" s="48" t="s">
        <v>220</v>
      </c>
      <c r="C19" s="48" t="s">
        <v>184</v>
      </c>
      <c r="D19" s="52" t="s">
        <v>165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153</v>
      </c>
    </row>
    <row r="20" spans="1:9" x14ac:dyDescent="0.4">
      <c r="A20" s="43">
        <v>46144</v>
      </c>
      <c r="B20" s="44" t="s">
        <v>154</v>
      </c>
      <c r="C20" s="44" t="s">
        <v>154</v>
      </c>
      <c r="D20" s="44" t="s">
        <v>154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153</v>
      </c>
    </row>
    <row r="21" spans="1:9" ht="39.6" x14ac:dyDescent="0.4">
      <c r="A21" s="47">
        <v>46145</v>
      </c>
      <c r="B21" s="48" t="s">
        <v>255</v>
      </c>
      <c r="C21" s="48" t="s">
        <v>256</v>
      </c>
      <c r="D21" s="52" t="s">
        <v>165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153</v>
      </c>
    </row>
    <row r="22" spans="1:9" x14ac:dyDescent="0.4">
      <c r="A22" s="43">
        <v>46151</v>
      </c>
      <c r="B22" s="44" t="s">
        <v>154</v>
      </c>
      <c r="C22" s="44" t="s">
        <v>154</v>
      </c>
      <c r="D22" s="44" t="s">
        <v>154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153</v>
      </c>
    </row>
    <row r="23" spans="1:9" ht="39.6" x14ac:dyDescent="0.4">
      <c r="A23" s="47">
        <v>46152</v>
      </c>
      <c r="B23" s="48" t="s">
        <v>255</v>
      </c>
      <c r="C23" s="48" t="s">
        <v>258</v>
      </c>
      <c r="D23" s="52" t="s">
        <v>165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153</v>
      </c>
    </row>
    <row r="24" spans="1:9" x14ac:dyDescent="0.4">
      <c r="A24" s="43">
        <v>46180</v>
      </c>
      <c r="B24" s="44" t="s">
        <v>154</v>
      </c>
      <c r="C24" s="44" t="s">
        <v>154</v>
      </c>
      <c r="D24" s="44" t="s">
        <v>154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153</v>
      </c>
    </row>
    <row r="25" spans="1:9" ht="39.6" x14ac:dyDescent="0.4">
      <c r="A25" s="81" t="s">
        <v>272</v>
      </c>
      <c r="B25" s="82" t="s">
        <v>274</v>
      </c>
      <c r="C25" s="82" t="s">
        <v>274</v>
      </c>
      <c r="D25" s="82" t="s">
        <v>274</v>
      </c>
      <c r="E25" s="83">
        <v>0</v>
      </c>
      <c r="F25" s="83">
        <v>100</v>
      </c>
      <c r="G25" s="84">
        <f>Table83[[#This Row],[سعر المتر]]*Table83[[#This Row],[الكمية]]</f>
        <v>0</v>
      </c>
      <c r="H25" s="85" t="s">
        <v>273</v>
      </c>
      <c r="I25" s="86" t="s">
        <v>275</v>
      </c>
    </row>
    <row r="26" spans="1:9" x14ac:dyDescent="0.4">
      <c r="A26" s="43">
        <v>46180</v>
      </c>
      <c r="B26" s="44" t="s">
        <v>154</v>
      </c>
      <c r="C26" s="44" t="s">
        <v>154</v>
      </c>
      <c r="D26" s="44" t="s">
        <v>154</v>
      </c>
      <c r="E26" s="44">
        <v>289.75</v>
      </c>
      <c r="F26" s="44">
        <v>55</v>
      </c>
      <c r="G26" s="45">
        <f>Table83[[#This Row],[سعر المتر]]*Table83[[#This Row],[الكمية]]</f>
        <v>15936.25</v>
      </c>
      <c r="H26" s="46" t="s">
        <v>153</v>
      </c>
    </row>
    <row r="27" spans="1:9" ht="39.6" x14ac:dyDescent="0.4">
      <c r="A27" s="47">
        <v>46181</v>
      </c>
      <c r="B27" s="48" t="s">
        <v>278</v>
      </c>
      <c r="C27" s="48" t="s">
        <v>279</v>
      </c>
      <c r="D27" s="52" t="s">
        <v>165</v>
      </c>
      <c r="E27" s="49">
        <v>289.75</v>
      </c>
      <c r="F27" s="49">
        <v>-96</v>
      </c>
      <c r="G27" s="50">
        <f>Table83[[#This Row],[سعر المتر]]*Table83[[#This Row],[الكمية]]</f>
        <v>-27816</v>
      </c>
      <c r="H27" s="51" t="s">
        <v>153</v>
      </c>
    </row>
    <row r="28" spans="1:9" ht="59.4" x14ac:dyDescent="0.4">
      <c r="A28" s="47">
        <v>46181</v>
      </c>
      <c r="B28" s="48" t="s">
        <v>280</v>
      </c>
      <c r="C28" s="48" t="s">
        <v>279</v>
      </c>
      <c r="D28" s="52" t="s">
        <v>165</v>
      </c>
      <c r="E28" s="49">
        <v>5.75</v>
      </c>
      <c r="F28" s="49">
        <v>-96</v>
      </c>
      <c r="G28" s="50">
        <f>Table83[[#This Row],[سعر المتر]]*Table83[[#This Row],[الكمية]]</f>
        <v>-552</v>
      </c>
      <c r="H28" s="51" t="s">
        <v>153</v>
      </c>
    </row>
    <row r="29" spans="1:9" x14ac:dyDescent="0.4">
      <c r="A29" s="43">
        <v>46180</v>
      </c>
      <c r="B29" s="44" t="s">
        <v>154</v>
      </c>
      <c r="C29" s="44" t="s">
        <v>154</v>
      </c>
      <c r="D29" s="44" t="s">
        <v>154</v>
      </c>
      <c r="E29" s="44">
        <v>289.75</v>
      </c>
      <c r="F29" s="44">
        <v>55</v>
      </c>
      <c r="G29" s="45">
        <v>262.25</v>
      </c>
      <c r="H29" s="46" t="s">
        <v>153</v>
      </c>
    </row>
    <row r="30" spans="1:9" x14ac:dyDescent="0.4">
      <c r="A30" s="15"/>
      <c r="B30" s="44"/>
      <c r="C30" s="32"/>
      <c r="D30" s="1"/>
      <c r="E30" s="32"/>
      <c r="F30" s="1"/>
      <c r="G30" s="88">
        <f>Table83[[#This Row],[سعر المتر]]*Table83[[#This Row],[الكمية]]</f>
        <v>0</v>
      </c>
      <c r="H30" s="16"/>
    </row>
    <row r="31" spans="1:9" x14ac:dyDescent="0.4">
      <c r="A31" s="15"/>
      <c r="B31" s="44"/>
      <c r="C31" s="32"/>
      <c r="D31" s="1"/>
      <c r="E31" s="32"/>
      <c r="F31" s="1"/>
      <c r="G31" s="88">
        <f>Table83[[#This Row],[سعر المتر]]*Table83[[#This Row],[الكمية]]</f>
        <v>0</v>
      </c>
      <c r="H31" s="16"/>
    </row>
    <row r="32" spans="1:9" x14ac:dyDescent="0.4">
      <c r="A32" s="15"/>
      <c r="B32" s="44"/>
      <c r="C32" s="32"/>
      <c r="D32" s="1"/>
      <c r="E32" s="32"/>
      <c r="F32" s="1"/>
      <c r="G32" s="88">
        <f>Table83[[#This Row],[سعر المتر]]*Table83[[#This Row],[الكمية]]</f>
        <v>0</v>
      </c>
      <c r="H32" s="16"/>
    </row>
    <row r="33" spans="1:12" x14ac:dyDescent="0.4">
      <c r="A33" s="15"/>
      <c r="B33" s="14"/>
      <c r="C33" s="87"/>
      <c r="D33" s="1"/>
      <c r="E33" s="32"/>
      <c r="F33" s="1"/>
      <c r="G33" s="88">
        <f>Table83[[#This Row],[سعر المتر]]*Table83[[#This Row],[الكمية]]</f>
        <v>0</v>
      </c>
      <c r="H33" s="16"/>
    </row>
    <row r="34" spans="1:12" x14ac:dyDescent="0.4">
      <c r="A34" s="31"/>
      <c r="B34" s="32"/>
      <c r="C34" s="32"/>
      <c r="D34" s="33"/>
      <c r="E34" s="33"/>
      <c r="F34" s="33"/>
      <c r="G34" s="42">
        <f>Table83[[#This Row],[سعر المتر]]*Table83[[#This Row],[الكمية]]</f>
        <v>0</v>
      </c>
      <c r="H34" s="35"/>
    </row>
    <row r="35" spans="1:12" x14ac:dyDescent="0.4">
      <c r="J35" s="91" t="s">
        <v>167</v>
      </c>
      <c r="K35" s="91"/>
      <c r="L35" s="91"/>
    </row>
    <row r="36" spans="1:12" x14ac:dyDescent="0.4">
      <c r="F36" s="9" t="s">
        <v>150</v>
      </c>
      <c r="G36" s="41">
        <f>SUM(G6:G34)</f>
        <v>869.25</v>
      </c>
      <c r="J36" s="1" t="s">
        <v>166</v>
      </c>
      <c r="K36" s="1" t="s">
        <v>152</v>
      </c>
      <c r="L36" s="1" t="s">
        <v>6</v>
      </c>
    </row>
    <row r="37" spans="1:12" x14ac:dyDescent="0.4">
      <c r="J37" s="1">
        <v>289.75</v>
      </c>
      <c r="K37" s="1">
        <v>3</v>
      </c>
      <c r="L37" s="1">
        <f>J37*K37</f>
        <v>869.25</v>
      </c>
    </row>
    <row r="38" spans="1:12" x14ac:dyDescent="0.4">
      <c r="F38" s="9" t="s">
        <v>201</v>
      </c>
      <c r="G38" s="41">
        <f>G36/J37</f>
        <v>3</v>
      </c>
    </row>
    <row r="41" spans="1:12" x14ac:dyDescent="0.4">
      <c r="J41" s="54"/>
    </row>
    <row r="42" spans="1:12" x14ac:dyDescent="0.4">
      <c r="J42" s="54"/>
    </row>
    <row r="46" spans="1:12" x14ac:dyDescent="0.4">
      <c r="J46" s="2">
        <v>607</v>
      </c>
    </row>
    <row r="47" spans="1:12" x14ac:dyDescent="0.4">
      <c r="J47" s="89">
        <v>262.25</v>
      </c>
    </row>
    <row r="48" spans="1:12" x14ac:dyDescent="0.4">
      <c r="J48" s="2">
        <f>SUM(J46:J47)</f>
        <v>869.25</v>
      </c>
    </row>
  </sheetData>
  <mergeCells count="1">
    <mergeCell ref="J35:L3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211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-315</v>
      </c>
      <c r="F6" s="46" t="s">
        <v>153</v>
      </c>
      <c r="H6" s="2" t="s">
        <v>165</v>
      </c>
      <c r="I6" s="52"/>
    </row>
    <row r="7" spans="1:9" x14ac:dyDescent="0.4">
      <c r="A7" s="43">
        <v>46161</v>
      </c>
      <c r="B7" s="44" t="s">
        <v>154</v>
      </c>
      <c r="C7" s="44" t="s">
        <v>154</v>
      </c>
      <c r="D7" s="44" t="s">
        <v>154</v>
      </c>
      <c r="E7" s="44">
        <v>-43655</v>
      </c>
      <c r="F7" s="46" t="s">
        <v>153</v>
      </c>
      <c r="H7" s="2" t="s">
        <v>164</v>
      </c>
      <c r="I7" s="53"/>
    </row>
    <row r="8" spans="1:9" x14ac:dyDescent="0.4">
      <c r="A8" s="47">
        <v>46161</v>
      </c>
      <c r="B8" s="49" t="s">
        <v>165</v>
      </c>
      <c r="C8" s="49" t="s">
        <v>165</v>
      </c>
      <c r="D8" s="49" t="s">
        <v>165</v>
      </c>
      <c r="E8" s="49">
        <v>43970</v>
      </c>
      <c r="F8" s="51" t="s">
        <v>153</v>
      </c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1" t="s">
        <v>167</v>
      </c>
      <c r="K20" s="91"/>
      <c r="L20" s="91"/>
    </row>
    <row r="21" spans="1:12" x14ac:dyDescent="0.4">
      <c r="F21" s="9" t="s">
        <v>150</v>
      </c>
      <c r="G21" s="41">
        <f>SUM(Table834[المبلغ])</f>
        <v>0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260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315</v>
      </c>
      <c r="F6" s="46" t="s">
        <v>153</v>
      </c>
      <c r="H6" s="2" t="s">
        <v>165</v>
      </c>
      <c r="I6" s="52"/>
    </row>
    <row r="7" spans="1:9" x14ac:dyDescent="0.4">
      <c r="A7" s="61"/>
      <c r="B7" s="14"/>
      <c r="C7" s="14"/>
      <c r="E7" s="1"/>
      <c r="F7" s="62"/>
      <c r="H7" s="2" t="s">
        <v>164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1" t="s">
        <v>167</v>
      </c>
      <c r="K20" s="91"/>
      <c r="L20" s="91"/>
    </row>
    <row r="21" spans="1:12" x14ac:dyDescent="0.4">
      <c r="F21" s="9" t="s">
        <v>150</v>
      </c>
      <c r="G21" s="41">
        <f>SUM(Table8345[المبلغ])</f>
        <v>315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167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152</v>
      </c>
      <c r="C30" s="18" t="s">
        <v>262</v>
      </c>
      <c r="D30" s="19" t="s">
        <v>263</v>
      </c>
      <c r="E30" s="19" t="s">
        <v>264</v>
      </c>
      <c r="F30" s="20" t="s">
        <v>7</v>
      </c>
    </row>
    <row r="31" spans="1:12" x14ac:dyDescent="0.4">
      <c r="A31" s="61" t="s">
        <v>261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2026-06-17T06:36:26Z</dcterms:modified>
  <cp:category/>
  <cp:contentStatus/>
</cp:coreProperties>
</file>