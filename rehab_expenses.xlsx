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137C88C2-64F6-4587-A391-9C4951DB27BE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9" l="1"/>
  <c r="G32" i="9"/>
  <c r="L53" i="9"/>
  <c r="L48" i="9"/>
  <c r="G31" i="9"/>
  <c r="G30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59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60" i="7"/>
  <c r="E10" i="3"/>
  <c r="H158" i="7"/>
  <c r="G38" i="9" l="1"/>
  <c r="G40" i="9" s="1"/>
</calcChain>
</file>

<file path=xl/sharedStrings.xml><?xml version="1.0" encoding="utf-8"?>
<sst xmlns="http://schemas.openxmlformats.org/spreadsheetml/2006/main" count="1593" uniqueCount="316">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</sst>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55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64"/>
  <sheetViews>
    <sheetView rightToLeft="1" tabSelected="1" topLeftCell="C118" zoomScale="85" zoomScaleNormal="85" workbookViewId="0">
      <selection activeCell="H129" sqref="H129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5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5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5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5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x14ac:dyDescent="0.3">
      <c r="A127" s="69"/>
      <c r="B127" s="70"/>
      <c r="C127" s="73"/>
      <c r="D127" s="71"/>
      <c r="E127" s="71"/>
      <c r="F127" s="71"/>
      <c r="G127" s="57"/>
      <c r="H127" s="71"/>
      <c r="I127" s="72"/>
      <c r="J127" s="71"/>
      <c r="K127" s="57"/>
      <c r="L127" s="71"/>
      <c r="M127" s="57"/>
      <c r="N127" s="57"/>
      <c r="O127" s="57"/>
      <c r="P127" s="71"/>
    </row>
    <row r="128" spans="1:16" x14ac:dyDescent="0.3">
      <c r="A128" s="69"/>
      <c r="B128" s="70"/>
      <c r="C128" s="73"/>
      <c r="D128" s="71"/>
      <c r="E128" s="71"/>
      <c r="F128" s="71"/>
      <c r="G128" s="57"/>
      <c r="H128" s="71"/>
      <c r="I128" s="72"/>
      <c r="J128" s="71"/>
      <c r="K128" s="57"/>
      <c r="L128" s="71"/>
      <c r="M128" s="57"/>
      <c r="N128" s="57"/>
      <c r="O128" s="57"/>
      <c r="P128" s="71"/>
    </row>
    <row r="129" spans="1:16" x14ac:dyDescent="0.3">
      <c r="A129" s="69"/>
      <c r="B129" s="70"/>
      <c r="C129" s="73"/>
      <c r="D129" s="71"/>
      <c r="E129" s="71"/>
      <c r="F129" s="71"/>
      <c r="G129" s="57"/>
      <c r="H129" s="71"/>
      <c r="I129" s="72"/>
      <c r="J129" s="71"/>
      <c r="K129" s="57"/>
      <c r="L129" s="71"/>
      <c r="M129" s="57"/>
      <c r="N129" s="57"/>
      <c r="O129" s="57"/>
      <c r="P129" s="71"/>
    </row>
    <row r="130" spans="1:16" x14ac:dyDescent="0.3">
      <c r="A130" s="69"/>
      <c r="B130" s="70"/>
      <c r="C130" s="73"/>
      <c r="D130" s="71"/>
      <c r="E130" s="71"/>
      <c r="F130" s="71"/>
      <c r="G130" s="57"/>
      <c r="H130" s="71"/>
      <c r="I130" s="72"/>
      <c r="J130" s="71"/>
      <c r="K130" s="57"/>
      <c r="L130" s="71"/>
      <c r="M130" s="57"/>
      <c r="N130" s="57"/>
      <c r="O130" s="57"/>
      <c r="P130" s="71"/>
    </row>
    <row r="131" spans="1:16" x14ac:dyDescent="0.3">
      <c r="A131" s="69"/>
      <c r="B131" s="70"/>
      <c r="C131" s="73"/>
      <c r="D131" s="71"/>
      <c r="E131" s="71"/>
      <c r="F131" s="71"/>
      <c r="G131" s="57"/>
      <c r="H131" s="71"/>
      <c r="I131" s="72"/>
      <c r="J131" s="71"/>
      <c r="K131" s="57"/>
      <c r="L131" s="71"/>
      <c r="M131" s="57"/>
      <c r="N131" s="57"/>
      <c r="O131" s="57"/>
      <c r="P131" s="71"/>
    </row>
    <row r="132" spans="1:16" x14ac:dyDescent="0.3">
      <c r="A132" s="69"/>
      <c r="B132" s="70"/>
      <c r="C132" s="71"/>
      <c r="D132" s="71"/>
      <c r="E132" s="71"/>
      <c r="F132" s="71"/>
      <c r="G132" s="57"/>
      <c r="H132" s="71"/>
      <c r="I132" s="72"/>
      <c r="J132" s="71"/>
      <c r="K132" s="57"/>
      <c r="L132" s="71"/>
      <c r="M132" s="71"/>
      <c r="N132" s="71"/>
      <c r="O132" s="71"/>
      <c r="P132" s="71"/>
    </row>
    <row r="133" spans="1:16" x14ac:dyDescent="0.3">
      <c r="A133" s="69"/>
      <c r="B133" s="70"/>
      <c r="C133" s="71"/>
      <c r="D133" s="71"/>
      <c r="E133" s="71"/>
      <c r="F133" s="71"/>
      <c r="G133" s="71"/>
      <c r="H133" s="71"/>
      <c r="I133" s="72"/>
      <c r="J133" s="71"/>
      <c r="K133" s="71"/>
      <c r="L133" s="71"/>
      <c r="M133" s="71"/>
      <c r="N133" s="71"/>
      <c r="O133" s="71"/>
      <c r="P133" s="71"/>
    </row>
    <row r="134" spans="1:16" s="36" customFormat="1" x14ac:dyDescent="0.3">
      <c r="A134" s="28" t="s">
        <v>26</v>
      </c>
      <c r="B134" s="40" t="s">
        <v>145</v>
      </c>
      <c r="C134" s="29" t="s">
        <v>142</v>
      </c>
      <c r="D134" s="29" t="s">
        <v>26</v>
      </c>
      <c r="E134" s="29" t="s">
        <v>143</v>
      </c>
      <c r="F134" s="29" t="s">
        <v>143</v>
      </c>
      <c r="G134" s="29"/>
      <c r="H134" s="29" t="s">
        <v>92</v>
      </c>
      <c r="I134" s="30">
        <v>20700</v>
      </c>
      <c r="J134" s="29"/>
      <c r="K134" s="29" t="s">
        <v>234</v>
      </c>
      <c r="L134" s="29"/>
      <c r="M134" s="29"/>
      <c r="N134" s="29"/>
      <c r="O134" s="29"/>
      <c r="P134" s="29"/>
    </row>
    <row r="135" spans="1:16" s="36" customFormat="1" x14ac:dyDescent="0.3">
      <c r="A135" s="28" t="s">
        <v>26</v>
      </c>
      <c r="B135" s="40" t="s">
        <v>146</v>
      </c>
      <c r="C135" s="29" t="s">
        <v>142</v>
      </c>
      <c r="D135" s="29" t="s">
        <v>26</v>
      </c>
      <c r="E135" s="29" t="s">
        <v>143</v>
      </c>
      <c r="F135" s="29" t="s">
        <v>143</v>
      </c>
      <c r="G135" s="29"/>
      <c r="H135" s="29" t="s">
        <v>92</v>
      </c>
      <c r="I135" s="30">
        <v>18000</v>
      </c>
      <c r="J135" s="29"/>
      <c r="K135" s="29" t="s">
        <v>234</v>
      </c>
      <c r="L135" s="29"/>
      <c r="M135" s="29"/>
      <c r="N135" s="29"/>
      <c r="O135" s="29"/>
      <c r="P135" s="29"/>
    </row>
    <row r="136" spans="1:16" s="36" customFormat="1" x14ac:dyDescent="0.3">
      <c r="A136" s="28" t="s">
        <v>26</v>
      </c>
      <c r="B136" s="40" t="s">
        <v>147</v>
      </c>
      <c r="C136" s="29" t="s">
        <v>142</v>
      </c>
      <c r="D136" s="29" t="s">
        <v>26</v>
      </c>
      <c r="E136" s="29" t="s">
        <v>143</v>
      </c>
      <c r="F136" s="29" t="s">
        <v>143</v>
      </c>
      <c r="G136" s="29"/>
      <c r="H136" s="29" t="s">
        <v>92</v>
      </c>
      <c r="I136" s="30">
        <v>5150</v>
      </c>
      <c r="J136" s="29"/>
      <c r="K136" s="29" t="s">
        <v>234</v>
      </c>
      <c r="L136" s="29"/>
      <c r="M136" s="29"/>
      <c r="N136" s="29"/>
      <c r="O136" s="29"/>
      <c r="P136" s="29"/>
    </row>
    <row r="137" spans="1:16" s="36" customFormat="1" x14ac:dyDescent="0.3">
      <c r="A137" s="28" t="s">
        <v>26</v>
      </c>
      <c r="B137" s="60" t="s">
        <v>87</v>
      </c>
      <c r="C137" s="29" t="s">
        <v>25</v>
      </c>
      <c r="D137" s="29" t="s">
        <v>26</v>
      </c>
      <c r="E137" s="29" t="s">
        <v>77</v>
      </c>
      <c r="F137" s="29" t="s">
        <v>109</v>
      </c>
      <c r="G137" s="29"/>
      <c r="H137" s="29" t="s">
        <v>92</v>
      </c>
      <c r="I137" s="30">
        <v>4025</v>
      </c>
      <c r="J137" s="29"/>
      <c r="K137" s="29" t="s">
        <v>234</v>
      </c>
      <c r="L137" s="29"/>
      <c r="M137" s="29"/>
      <c r="N137" s="29"/>
      <c r="O137" s="29"/>
      <c r="P137" s="29"/>
    </row>
    <row r="138" spans="1:16" s="36" customFormat="1" x14ac:dyDescent="0.3">
      <c r="A138" s="28" t="s">
        <v>26</v>
      </c>
      <c r="B138" s="60" t="s">
        <v>88</v>
      </c>
      <c r="C138" s="29" t="s">
        <v>25</v>
      </c>
      <c r="D138" s="29" t="s">
        <v>26</v>
      </c>
      <c r="E138" s="29" t="s">
        <v>77</v>
      </c>
      <c r="F138" s="29" t="s">
        <v>109</v>
      </c>
      <c r="G138" s="29"/>
      <c r="H138" s="29" t="s">
        <v>92</v>
      </c>
      <c r="I138" s="30">
        <v>2300</v>
      </c>
      <c r="J138" s="29"/>
      <c r="K138" s="29" t="s">
        <v>234</v>
      </c>
      <c r="L138" s="29"/>
      <c r="M138" s="29"/>
      <c r="N138" s="29"/>
      <c r="O138" s="29"/>
      <c r="P138" s="29"/>
    </row>
    <row r="139" spans="1:16" s="36" customFormat="1" x14ac:dyDescent="0.3">
      <c r="A139" s="28" t="s">
        <v>26</v>
      </c>
      <c r="B139" s="60" t="s">
        <v>103</v>
      </c>
      <c r="C139" s="29" t="s">
        <v>27</v>
      </c>
      <c r="D139" s="29" t="s">
        <v>26</v>
      </c>
      <c r="E139" s="29" t="s">
        <v>72</v>
      </c>
      <c r="F139" s="29" t="s">
        <v>73</v>
      </c>
      <c r="G139" s="29"/>
      <c r="H139" s="29" t="s">
        <v>92</v>
      </c>
      <c r="I139" s="30">
        <v>10000</v>
      </c>
      <c r="J139" s="29"/>
      <c r="K139" s="29" t="s">
        <v>234</v>
      </c>
      <c r="L139" s="29"/>
      <c r="M139" s="29"/>
      <c r="N139" s="29"/>
      <c r="O139" s="29"/>
      <c r="P139" s="29"/>
    </row>
    <row r="140" spans="1:16" s="36" customFormat="1" x14ac:dyDescent="0.3">
      <c r="A140" s="28" t="s">
        <v>26</v>
      </c>
      <c r="B140" s="60" t="s">
        <v>104</v>
      </c>
      <c r="C140" s="29" t="s">
        <v>27</v>
      </c>
      <c r="D140" s="29" t="s">
        <v>26</v>
      </c>
      <c r="E140" s="29" t="s">
        <v>72</v>
      </c>
      <c r="F140" s="29" t="s">
        <v>73</v>
      </c>
      <c r="G140" s="29"/>
      <c r="H140" s="29" t="s">
        <v>92</v>
      </c>
      <c r="I140" s="30">
        <v>20000</v>
      </c>
      <c r="J140" s="29"/>
      <c r="K140" s="29" t="s">
        <v>234</v>
      </c>
      <c r="L140" s="29"/>
      <c r="M140" s="29"/>
      <c r="N140" s="29"/>
      <c r="O140" s="29"/>
      <c r="P140" s="29"/>
    </row>
    <row r="141" spans="1:16" s="36" customFormat="1" x14ac:dyDescent="0.3">
      <c r="A141" s="28" t="s">
        <v>26</v>
      </c>
      <c r="B141" s="60" t="s">
        <v>105</v>
      </c>
      <c r="C141" s="29" t="s">
        <v>27</v>
      </c>
      <c r="D141" s="29" t="s">
        <v>26</v>
      </c>
      <c r="E141" s="29" t="s">
        <v>72</v>
      </c>
      <c r="F141" s="29" t="s">
        <v>73</v>
      </c>
      <c r="G141" s="29"/>
      <c r="H141" s="29" t="s">
        <v>92</v>
      </c>
      <c r="I141" s="30">
        <v>15000</v>
      </c>
      <c r="J141" s="29"/>
      <c r="K141" s="29" t="s">
        <v>234</v>
      </c>
      <c r="L141" s="29"/>
      <c r="M141" s="29"/>
      <c r="N141" s="29"/>
      <c r="O141" s="29"/>
      <c r="P141" s="29"/>
    </row>
    <row r="142" spans="1:16" s="36" customFormat="1" x14ac:dyDescent="0.3">
      <c r="A142" s="28" t="s">
        <v>26</v>
      </c>
      <c r="B142" s="60" t="s">
        <v>106</v>
      </c>
      <c r="C142" s="29" t="s">
        <v>27</v>
      </c>
      <c r="D142" s="29" t="s">
        <v>26</v>
      </c>
      <c r="E142" s="29" t="s">
        <v>72</v>
      </c>
      <c r="F142" s="29" t="s">
        <v>73</v>
      </c>
      <c r="G142" s="29"/>
      <c r="H142" s="29" t="s">
        <v>92</v>
      </c>
      <c r="I142" s="30">
        <v>15000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28" t="s">
        <v>26</v>
      </c>
      <c r="B143" s="60" t="s">
        <v>107</v>
      </c>
      <c r="C143" s="29" t="s">
        <v>27</v>
      </c>
      <c r="D143" s="29" t="s">
        <v>26</v>
      </c>
      <c r="E143" s="29" t="s">
        <v>72</v>
      </c>
      <c r="F143" s="29" t="s">
        <v>73</v>
      </c>
      <c r="G143" s="29"/>
      <c r="H143" s="29" t="s">
        <v>92</v>
      </c>
      <c r="I143" s="30">
        <v>10000</v>
      </c>
      <c r="J143" s="29"/>
      <c r="K143" s="29" t="s">
        <v>234</v>
      </c>
      <c r="L143" s="29"/>
      <c r="M143" s="29"/>
      <c r="N143" s="29"/>
      <c r="O143" s="29"/>
      <c r="P143" s="29"/>
    </row>
    <row r="144" spans="1:16" s="36" customFormat="1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  <c r="N144" s="57"/>
      <c r="O144" s="57"/>
      <c r="P144" s="57"/>
    </row>
    <row r="145" spans="1:16" s="36" customFormat="1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  <c r="N145" s="57"/>
      <c r="O145" s="57"/>
      <c r="P145" s="57"/>
    </row>
    <row r="146" spans="1:16" s="36" customFormat="1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  <c r="N146" s="57"/>
      <c r="O146" s="57"/>
      <c r="P146" s="57"/>
    </row>
    <row r="147" spans="1:16" s="36" customFormat="1" x14ac:dyDescent="0.3">
      <c r="A147" s="56"/>
      <c r="B147" s="59"/>
      <c r="C147" s="57"/>
      <c r="D147" s="57"/>
      <c r="E147" s="57"/>
      <c r="F147" s="57"/>
      <c r="G147" s="57"/>
      <c r="H147" s="57"/>
      <c r="I147" s="55"/>
      <c r="J147" s="57"/>
      <c r="K147" s="57"/>
      <c r="L147" s="57"/>
      <c r="M147" s="57"/>
      <c r="N147" s="57"/>
      <c r="O147" s="57"/>
      <c r="P147" s="57"/>
    </row>
    <row r="148" spans="1:16" s="36" customFormat="1" x14ac:dyDescent="0.3">
      <c r="A148" s="56"/>
      <c r="B148" s="59"/>
      <c r="C148" s="57"/>
      <c r="D148" s="57"/>
      <c r="E148" s="57"/>
      <c r="F148" s="57"/>
      <c r="G148" s="57"/>
      <c r="H148" s="57"/>
      <c r="I148" s="55"/>
      <c r="J148" s="57"/>
      <c r="K148" s="57"/>
      <c r="L148" s="57"/>
      <c r="M148" s="57"/>
      <c r="N148" s="57"/>
      <c r="O148" s="57"/>
      <c r="P148" s="57"/>
    </row>
    <row r="149" spans="1:16" s="36" customFormat="1" x14ac:dyDescent="0.3">
      <c r="A149" s="56"/>
      <c r="B149" s="59"/>
      <c r="C149" s="57"/>
      <c r="D149" s="57"/>
      <c r="E149" s="57"/>
      <c r="F149" s="57"/>
      <c r="G149" s="57"/>
      <c r="H149" s="57"/>
      <c r="I149" s="55"/>
      <c r="J149" s="57"/>
      <c r="K149" s="57"/>
      <c r="L149" s="57"/>
      <c r="M149" s="57"/>
      <c r="N149" s="57"/>
      <c r="O149" s="57"/>
      <c r="P149" s="57"/>
    </row>
    <row r="150" spans="1:16" s="36" customFormat="1" x14ac:dyDescent="0.3">
      <c r="A150" s="56"/>
      <c r="B150" s="59"/>
      <c r="C150" s="57"/>
      <c r="D150" s="57"/>
      <c r="E150" s="57"/>
      <c r="F150" s="57"/>
      <c r="G150" s="57"/>
      <c r="H150" s="57"/>
      <c r="I150" s="55"/>
      <c r="J150" s="57"/>
      <c r="K150" s="57"/>
      <c r="L150" s="57"/>
      <c r="M150" s="57"/>
      <c r="N150" s="57"/>
      <c r="O150" s="57"/>
      <c r="P150" s="57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7" spans="1:16" ht="18" thickBot="1" x14ac:dyDescent="0.35"/>
    <row r="158" spans="1:16" ht="25.8" thickTop="1" thickBot="1" x14ac:dyDescent="0.35">
      <c r="F158" s="80"/>
      <c r="G158" s="37" t="s">
        <v>227</v>
      </c>
      <c r="H158" s="64">
        <f>SUMIF(D2:D1040,"مدفوع",I2:I1040)-748000</f>
        <v>643651.24999999977</v>
      </c>
    </row>
    <row r="159" spans="1:16" ht="25.8" thickTop="1" thickBot="1" x14ac:dyDescent="0.35">
      <c r="E159" s="67"/>
      <c r="F159" s="80"/>
      <c r="G159" s="38" t="s">
        <v>226</v>
      </c>
      <c r="H159" s="65">
        <f>SUMIF(D2:D1040,"مستقبلي",I2:I1040)</f>
        <v>120175</v>
      </c>
    </row>
    <row r="160" spans="1:16" ht="25.8" thickTop="1" thickBot="1" x14ac:dyDescent="0.35">
      <c r="E160" s="67"/>
      <c r="F160" s="80"/>
      <c r="G160" s="39" t="s">
        <v>225</v>
      </c>
      <c r="H160" s="66">
        <f>SUMIF(D2:D1040,"مدفوع",I2:I1040)</f>
        <v>1391651.2499999998</v>
      </c>
    </row>
    <row r="161" spans="5:8" ht="18" thickTop="1" x14ac:dyDescent="0.3">
      <c r="E161" s="67"/>
    </row>
    <row r="162" spans="5:8" x14ac:dyDescent="0.3">
      <c r="E162" s="67"/>
    </row>
    <row r="164" spans="5:8" x14ac:dyDescent="0.3">
      <c r="E164" s="68"/>
      <c r="H164" s="63"/>
    </row>
  </sheetData>
  <mergeCells count="1">
    <mergeCell ref="A2:P2"/>
  </mergeCells>
  <dataValidations count="1">
    <dataValidation type="list" allowBlank="1" showInputMessage="1" showErrorMessage="1" sqref="D5:D155" xr:uid="{8DD4A2C2-2D88-4DA6-AAB9-88AA2C531F27}">
      <formula1>$D$5:$D$155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A34" zoomScaleNormal="100" workbookViewId="0">
      <selection activeCell="D43" sqref="D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4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7"/>
      <c r="K37" s="87"/>
      <c r="L37" s="87"/>
    </row>
    <row r="38" spans="1:12" x14ac:dyDescent="0.4">
      <c r="F38" s="9" t="s">
        <v>148</v>
      </c>
      <c r="G38" s="41">
        <f>SUM(G6:G36)</f>
        <v>1942</v>
      </c>
    </row>
    <row r="40" spans="1:12" x14ac:dyDescent="0.4">
      <c r="F40" s="9" t="s">
        <v>198</v>
      </c>
      <c r="G40" s="41">
        <f>G38/J48</f>
        <v>6.7023295944779981</v>
      </c>
    </row>
    <row r="42" spans="1:12" x14ac:dyDescent="0.4">
      <c r="J42" s="87"/>
      <c r="K42" s="87"/>
      <c r="L42" s="87"/>
    </row>
    <row r="46" spans="1:12" x14ac:dyDescent="0.4">
      <c r="J46" s="88" t="s">
        <v>284</v>
      </c>
      <c r="K46" s="88"/>
      <c r="L46" s="88"/>
    </row>
    <row r="47" spans="1:12" x14ac:dyDescent="0.4">
      <c r="J47" s="1" t="s">
        <v>164</v>
      </c>
      <c r="K47" s="1" t="s">
        <v>150</v>
      </c>
      <c r="L47" s="1" t="s">
        <v>6</v>
      </c>
    </row>
    <row r="48" spans="1:12" x14ac:dyDescent="0.4">
      <c r="J48" s="1">
        <v>289.75</v>
      </c>
      <c r="K48" s="1">
        <v>10</v>
      </c>
      <c r="L48" s="83">
        <f>J48*K48</f>
        <v>2897.5</v>
      </c>
    </row>
    <row r="51" spans="10:12" x14ac:dyDescent="0.4">
      <c r="J51" s="89" t="s">
        <v>285</v>
      </c>
      <c r="K51" s="89"/>
      <c r="L51" s="89"/>
    </row>
    <row r="52" spans="10:12" x14ac:dyDescent="0.4">
      <c r="J52" s="1" t="s">
        <v>164</v>
      </c>
      <c r="K52" s="1" t="s">
        <v>150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2026-07-08T13:00:37Z</dcterms:modified>
  <cp:category/>
  <cp:contentStatus/>
</cp:coreProperties>
</file>